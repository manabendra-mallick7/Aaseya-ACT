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 firstSheet="2" activeTab="8"/>
  </bookViews>
  <sheets>
    <sheet name="MBA Starting Salaries Data" sheetId="1" r:id="rId1"/>
    <sheet name="FD" sheetId="2" r:id="rId2"/>
    <sheet name="RFD" sheetId="3" r:id="rId3"/>
    <sheet name="MRCFD" sheetId="4" r:id="rId4"/>
    <sheet name="LRCFD" sheetId="5" r:id="rId5"/>
    <sheet name="Histogram" sheetId="6" r:id="rId6"/>
    <sheet name="Frequency Polygon" sheetId="7" r:id="rId7"/>
    <sheet name="Dealing With Missing Data" sheetId="8" r:id="rId8"/>
    <sheet name="Dealing With Outlie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<sst xmlns="http://schemas.openxmlformats.org/spreadsheetml/2006/main" count="134" uniqueCount="69">
  <si>
    <t>age</t>
  </si>
  <si>
    <t>sex</t>
  </si>
  <si>
    <t>gmat_tot</t>
  </si>
  <si>
    <t>gmat_qpc</t>
  </si>
  <si>
    <t>gmat_vpc</t>
  </si>
  <si>
    <t>gmat_tpc</t>
  </si>
  <si>
    <t>s_avg</t>
  </si>
  <si>
    <t>f_avg</t>
  </si>
  <si>
    <t>quarter</t>
  </si>
  <si>
    <t>work_yrs</t>
  </si>
  <si>
    <t>frstlang</t>
  </si>
  <si>
    <t>salary</t>
  </si>
  <si>
    <t>satis</t>
  </si>
  <si>
    <t>Salaries after omission of not disclosed or gone into other ventures, so that a more accurate conclusion can be established.</t>
  </si>
  <si>
    <t>Number of classes</t>
  </si>
  <si>
    <t>Distribution table</t>
  </si>
  <si>
    <t>FREQUENCY DISTRIBUTION</t>
  </si>
  <si>
    <t>64000-83500</t>
  </si>
  <si>
    <t>83500-103000</t>
  </si>
  <si>
    <t>Class width/size</t>
  </si>
  <si>
    <t>103000-122500</t>
  </si>
  <si>
    <t>122500-142000</t>
  </si>
  <si>
    <t>142000-161500</t>
  </si>
  <si>
    <t>161500-181000</t>
  </si>
  <si>
    <t>181000-200500</t>
  </si>
  <si>
    <t>Max Salary = 220,000</t>
  </si>
  <si>
    <t>200500-220000</t>
  </si>
  <si>
    <t>Copying the values and tables from the FD sheet</t>
  </si>
  <si>
    <t>RELATIVE FREQUENCY DISTRIBUTION</t>
  </si>
  <si>
    <t>Salary Range</t>
  </si>
  <si>
    <t>FD</t>
  </si>
  <si>
    <t>RFD</t>
  </si>
  <si>
    <t>Percentage</t>
  </si>
  <si>
    <t>MORE THAN RELATIVE CUMULATIVE FREQUENCY DISTRIBUTION</t>
  </si>
  <si>
    <t>Salary Range - More Than</t>
  </si>
  <si>
    <t>MCF</t>
  </si>
  <si>
    <t>MRCF</t>
  </si>
  <si>
    <t>MPCF</t>
  </si>
  <si>
    <t>&gt; 64000</t>
  </si>
  <si>
    <t>&gt; 83500</t>
  </si>
  <si>
    <t>&gt; 103000</t>
  </si>
  <si>
    <t>&gt; 122500</t>
  </si>
  <si>
    <t>&gt; 142000</t>
  </si>
  <si>
    <t>&gt; 161500</t>
  </si>
  <si>
    <t>&gt; 181000</t>
  </si>
  <si>
    <t>&gt; 200500</t>
  </si>
  <si>
    <t>LESS THAN RELATIVE CUMULATIVE FREQUENCY DISTRIBUTION</t>
  </si>
  <si>
    <t>Salary Range - Less Than</t>
  </si>
  <si>
    <t>LCF</t>
  </si>
  <si>
    <t>LRCF</t>
  </si>
  <si>
    <t>LPCF</t>
  </si>
  <si>
    <t>&lt; 64000</t>
  </si>
  <si>
    <t>&lt; 83500</t>
  </si>
  <si>
    <t>&lt; 103000</t>
  </si>
  <si>
    <t>&lt; 122500</t>
  </si>
  <si>
    <t>&lt; 142000</t>
  </si>
  <si>
    <t>&lt; 161500</t>
  </si>
  <si>
    <t>&lt; 181000</t>
  </si>
  <si>
    <t>&lt; 200500</t>
  </si>
  <si>
    <t>&lt; 220000</t>
  </si>
  <si>
    <t>Dealing WIth Missing Data</t>
  </si>
  <si>
    <t xml:space="preserve">1. Categorising the salary into salary bands/brackets and then the missing values can form a separate category such as "Not Disclosed".
</t>
  </si>
  <si>
    <t>2. Estimate the missing salary values using - Job Type &amp; Satisfaction.</t>
  </si>
  <si>
    <t>3. If the percentage of missing salary was small (not for our case), can be removed to prevent skewing or misinterpretation of Data</t>
  </si>
  <si>
    <t>4. Or treat them as missing values during calclulation.</t>
  </si>
  <si>
    <t>Dealing With Outliers</t>
  </si>
  <si>
    <t>1. Removing the extreme values that are clearly errors or impossible values.</t>
  </si>
  <si>
    <t>2. Replacing and capping the salary values to a certain value for the extreme cases.</t>
  </si>
  <si>
    <t>3. Either they are adjusted, removed, or  reported clearly (for extreme but genuine cases) depending on their impact to the analysis.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</si>
</sst>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3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customStorage" Target="customStorage/customStorage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Histogram!$A$2:$A$9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200500-220000</c:v>
                </c:pt>
              </c:strCache>
            </c:strRef>
          </c:cat>
          <c:val>
            <c:numRef>
              <c:f>Histogram!$B$2:$B$9</c:f>
            </c:numRef>
          </c:val>
        </c:ser>
        <c:ser>
          <c:idx val="1"/>
          <c:order val="1"/>
          <c:tx>
            <c:strRef>
              <c:f>Histogram!$C$1</c:f>
              <c:strCache>
                <c:ptCount val="1"/>
                <c:pt idx="0">
                  <c:v>FREQUENCY DISTRIBUTION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Histogram!$A$2:$A$9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200500-220000</c:v>
                </c:pt>
              </c:strCache>
            </c:strRef>
          </c:cat>
          <c:val>
            <c:numRef>
              <c:f>Histogram!$C$2:$C$9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93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5240735"/>
        <c:axId val="455936993"/>
      </c:barChart>
      <c:catAx>
        <c:axId val="125240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936993"/>
        <c:crosses val="autoZero"/>
        <c:auto val="1"/>
        <c:lblAlgn val="ctr"/>
        <c:lblOffset val="100"/>
        <c:noMultiLvlLbl val="0"/>
      </c:catAx>
      <c:valAx>
        <c:axId val="4559369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24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48efa-60f7-4006-a45c-9f3afa30be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'Frequency Polygon'!$B$1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200500-220000</c:v>
                </c:pt>
              </c:strCache>
            </c:strRef>
          </c:cat>
          <c:val>
            <c:numRef>
              <c:f>'Frequency Polygon'!$B$2:$B$9</c:f>
            </c:numRef>
          </c:val>
          <c:smooth val="0"/>
        </c:ser>
        <c:ser>
          <c:idx val="1"/>
          <c:order val="1"/>
          <c:tx>
            <c:strRef>
              <c:f>'Frequency Polygon'!$C$1</c:f>
              <c:strCache>
                <c:ptCount val="1"/>
                <c:pt idx="0">
                  <c:v>FREQUENCY DISTRIBUTION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200500-220000</c:v>
                </c:pt>
              </c:strCache>
            </c:strRef>
          </c:cat>
          <c:val>
            <c:numRef>
              <c:f>'Frequency Polygon'!$C$2:$C$9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93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09571434"/>
        <c:axId val="755040555"/>
      </c:lineChart>
      <c:catAx>
        <c:axId val="2095714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040555"/>
        <c:crosses val="autoZero"/>
        <c:auto val="1"/>
        <c:lblAlgn val="ctr"/>
        <c:lblOffset val="100"/>
        <c:noMultiLvlLbl val="0"/>
      </c:catAx>
      <c:valAx>
        <c:axId val="7550405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5714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4f8ec5-bf08-4c81-9801-2c5c6f1081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224155</xdr:colOff>
      <xdr:row>0</xdr:row>
      <xdr:rowOff>99695</xdr:rowOff>
    </xdr:from>
    <xdr:to>
      <xdr:col>19</xdr:col>
      <xdr:colOff>27305</xdr:colOff>
      <xdr:row>27</xdr:row>
      <xdr:rowOff>67945</xdr:rowOff>
    </xdr:to>
    <xdr:graphicFrame>
      <xdr:nvGraphicFramePr>
        <xdr:cNvPr id="3" name="Chart 2"/>
        <xdr:cNvGraphicFramePr/>
      </xdr:nvGraphicFramePr>
      <xdr:xfrm>
        <a:off x="3142615" y="99695"/>
        <a:ext cx="9556750" cy="4906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566420</xdr:colOff>
      <xdr:row>0</xdr:row>
      <xdr:rowOff>68580</xdr:rowOff>
    </xdr:from>
    <xdr:to>
      <xdr:col>17</xdr:col>
      <xdr:colOff>95885</xdr:colOff>
      <xdr:row>25</xdr:row>
      <xdr:rowOff>113665</xdr:rowOff>
    </xdr:to>
    <xdr:graphicFrame>
      <xdr:nvGraphicFramePr>
        <xdr:cNvPr id="2" name="Chart 1"/>
        <xdr:cNvGraphicFramePr/>
      </xdr:nvGraphicFramePr>
      <xdr:xfrm>
        <a:off x="3484880" y="68580"/>
        <a:ext cx="8063865" cy="4617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5"/>
  <sheetViews>
    <sheetView zoomScaleSheetLayoutView="60" workbookViewId="0">
      <selection activeCell="L1" sqref="L$1:L$1048576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23</v>
      </c>
      <c r="B2">
        <v>2</v>
      </c>
      <c r="C2">
        <v>620</v>
      </c>
      <c r="D2">
        <v>77</v>
      </c>
      <c r="E2">
        <v>87</v>
      </c>
      <c r="F2">
        <v>87</v>
      </c>
      <c r="G2">
        <v>3.4</v>
      </c>
      <c r="H2">
        <v>3</v>
      </c>
      <c r="I2">
        <v>1</v>
      </c>
      <c r="J2">
        <v>2</v>
      </c>
      <c r="K2">
        <v>1</v>
      </c>
      <c r="L2">
        <v>0</v>
      </c>
      <c r="M2">
        <v>7</v>
      </c>
    </row>
    <row r="3" spans="1:13">
      <c r="A3">
        <v>24</v>
      </c>
      <c r="B3">
        <v>1</v>
      </c>
      <c r="C3">
        <v>610</v>
      </c>
      <c r="D3">
        <v>90</v>
      </c>
      <c r="E3">
        <v>71</v>
      </c>
      <c r="F3">
        <v>87</v>
      </c>
      <c r="G3">
        <v>3.5</v>
      </c>
      <c r="H3">
        <v>4</v>
      </c>
      <c r="I3">
        <v>1</v>
      </c>
      <c r="J3">
        <v>2</v>
      </c>
      <c r="K3">
        <v>1</v>
      </c>
      <c r="L3">
        <v>0</v>
      </c>
      <c r="M3">
        <v>6</v>
      </c>
    </row>
    <row r="4" spans="1:13">
      <c r="A4">
        <v>24</v>
      </c>
      <c r="B4">
        <v>1</v>
      </c>
      <c r="C4">
        <v>670</v>
      </c>
      <c r="D4">
        <v>99</v>
      </c>
      <c r="E4">
        <v>78</v>
      </c>
      <c r="F4">
        <v>95</v>
      </c>
      <c r="G4">
        <v>3.3</v>
      </c>
      <c r="H4">
        <v>3.25</v>
      </c>
      <c r="I4">
        <v>1</v>
      </c>
      <c r="J4">
        <v>2</v>
      </c>
      <c r="K4">
        <v>1</v>
      </c>
      <c r="L4">
        <v>0</v>
      </c>
      <c r="M4">
        <v>6</v>
      </c>
    </row>
    <row r="5" spans="1:13">
      <c r="A5">
        <v>24</v>
      </c>
      <c r="B5">
        <v>1</v>
      </c>
      <c r="C5">
        <v>570</v>
      </c>
      <c r="D5">
        <v>56</v>
      </c>
      <c r="E5">
        <v>81</v>
      </c>
      <c r="F5">
        <v>75</v>
      </c>
      <c r="G5">
        <v>3.3</v>
      </c>
      <c r="H5">
        <v>2.67</v>
      </c>
      <c r="I5">
        <v>1</v>
      </c>
      <c r="J5">
        <v>1</v>
      </c>
      <c r="K5">
        <v>1</v>
      </c>
      <c r="L5">
        <v>0</v>
      </c>
      <c r="M5">
        <v>7</v>
      </c>
    </row>
    <row r="6" spans="1:13">
      <c r="A6">
        <v>24</v>
      </c>
      <c r="B6">
        <v>2</v>
      </c>
      <c r="C6">
        <v>710</v>
      </c>
      <c r="D6">
        <v>93</v>
      </c>
      <c r="E6">
        <v>98</v>
      </c>
      <c r="F6">
        <v>98</v>
      </c>
      <c r="G6">
        <v>3.6</v>
      </c>
      <c r="H6">
        <v>3.75</v>
      </c>
      <c r="I6">
        <v>1</v>
      </c>
      <c r="J6">
        <v>2</v>
      </c>
      <c r="K6">
        <v>1</v>
      </c>
      <c r="L6">
        <v>999</v>
      </c>
      <c r="M6">
        <v>5</v>
      </c>
    </row>
    <row r="7" spans="1:13">
      <c r="A7">
        <v>24</v>
      </c>
      <c r="B7">
        <v>1</v>
      </c>
      <c r="C7">
        <v>640</v>
      </c>
      <c r="D7">
        <v>82</v>
      </c>
      <c r="E7">
        <v>89</v>
      </c>
      <c r="F7">
        <v>91</v>
      </c>
      <c r="G7">
        <v>3.9</v>
      </c>
      <c r="H7">
        <v>3.75</v>
      </c>
      <c r="I7">
        <v>1</v>
      </c>
      <c r="J7">
        <v>2</v>
      </c>
      <c r="K7">
        <v>1</v>
      </c>
      <c r="L7">
        <v>0</v>
      </c>
      <c r="M7">
        <v>6</v>
      </c>
    </row>
    <row r="8" spans="1:13">
      <c r="A8">
        <v>25</v>
      </c>
      <c r="B8">
        <v>1</v>
      </c>
      <c r="C8">
        <v>610</v>
      </c>
      <c r="D8">
        <v>89</v>
      </c>
      <c r="E8">
        <v>74</v>
      </c>
      <c r="F8">
        <v>87</v>
      </c>
      <c r="G8">
        <v>3.4</v>
      </c>
      <c r="H8">
        <v>3.5</v>
      </c>
      <c r="I8">
        <v>1</v>
      </c>
      <c r="J8">
        <v>2</v>
      </c>
      <c r="K8">
        <v>1</v>
      </c>
      <c r="L8">
        <v>0</v>
      </c>
      <c r="M8">
        <v>5</v>
      </c>
    </row>
    <row r="9" spans="1:13">
      <c r="A9">
        <v>25</v>
      </c>
      <c r="B9">
        <v>2</v>
      </c>
      <c r="C9">
        <v>650</v>
      </c>
      <c r="D9">
        <v>88</v>
      </c>
      <c r="E9">
        <v>89</v>
      </c>
      <c r="F9">
        <v>92</v>
      </c>
      <c r="G9">
        <v>3.3</v>
      </c>
      <c r="H9">
        <v>3.75</v>
      </c>
      <c r="I9">
        <v>1</v>
      </c>
      <c r="J9">
        <v>2</v>
      </c>
      <c r="K9">
        <v>1</v>
      </c>
      <c r="L9">
        <v>0</v>
      </c>
      <c r="M9">
        <v>6</v>
      </c>
    </row>
    <row r="10" spans="1:13">
      <c r="A10">
        <v>25</v>
      </c>
      <c r="B10">
        <v>1</v>
      </c>
      <c r="C10">
        <v>630</v>
      </c>
      <c r="D10">
        <v>79</v>
      </c>
      <c r="E10">
        <v>91</v>
      </c>
      <c r="F10">
        <v>89</v>
      </c>
      <c r="G10">
        <v>3.3</v>
      </c>
      <c r="H10">
        <v>3.25</v>
      </c>
      <c r="I10">
        <v>1</v>
      </c>
      <c r="J10">
        <v>2</v>
      </c>
      <c r="K10">
        <v>2</v>
      </c>
      <c r="L10">
        <v>999</v>
      </c>
      <c r="M10">
        <v>4</v>
      </c>
    </row>
    <row r="11" spans="1:13">
      <c r="A11">
        <v>25</v>
      </c>
      <c r="B11">
        <v>1</v>
      </c>
      <c r="C11">
        <v>680</v>
      </c>
      <c r="D11">
        <v>99</v>
      </c>
      <c r="E11">
        <v>81</v>
      </c>
      <c r="F11">
        <v>96</v>
      </c>
      <c r="G11">
        <v>3.45</v>
      </c>
      <c r="H11">
        <v>3.67</v>
      </c>
      <c r="I11">
        <v>1</v>
      </c>
      <c r="J11">
        <v>2</v>
      </c>
      <c r="K11">
        <v>1</v>
      </c>
      <c r="L11">
        <v>998</v>
      </c>
      <c r="M11">
        <v>998</v>
      </c>
    </row>
    <row r="12" spans="1:13">
      <c r="A12">
        <v>26</v>
      </c>
      <c r="B12">
        <v>1</v>
      </c>
      <c r="C12">
        <v>740</v>
      </c>
      <c r="D12">
        <v>99</v>
      </c>
      <c r="E12">
        <v>98</v>
      </c>
      <c r="F12">
        <v>99</v>
      </c>
      <c r="G12">
        <v>3.56</v>
      </c>
      <c r="H12">
        <v>4</v>
      </c>
      <c r="I12">
        <v>1</v>
      </c>
      <c r="J12">
        <v>2</v>
      </c>
      <c r="K12">
        <v>1</v>
      </c>
      <c r="L12">
        <v>998</v>
      </c>
      <c r="M12">
        <v>998</v>
      </c>
    </row>
    <row r="13" spans="1:13">
      <c r="A13">
        <v>26</v>
      </c>
      <c r="B13">
        <v>2</v>
      </c>
      <c r="C13">
        <v>610</v>
      </c>
      <c r="D13">
        <v>75</v>
      </c>
      <c r="E13">
        <v>87</v>
      </c>
      <c r="F13">
        <v>86</v>
      </c>
      <c r="G13">
        <v>3.4</v>
      </c>
      <c r="H13">
        <v>3.75</v>
      </c>
      <c r="I13">
        <v>1</v>
      </c>
      <c r="J13">
        <v>2</v>
      </c>
      <c r="K13">
        <v>1</v>
      </c>
      <c r="L13">
        <v>998</v>
      </c>
      <c r="M13">
        <v>998</v>
      </c>
    </row>
    <row r="14" spans="1:13">
      <c r="A14">
        <v>26</v>
      </c>
      <c r="B14">
        <v>1</v>
      </c>
      <c r="C14">
        <v>710</v>
      </c>
      <c r="D14">
        <v>95</v>
      </c>
      <c r="E14">
        <v>95</v>
      </c>
      <c r="F14">
        <v>98</v>
      </c>
      <c r="G14">
        <v>3.5</v>
      </c>
      <c r="H14">
        <v>3.5</v>
      </c>
      <c r="I14">
        <v>1</v>
      </c>
      <c r="J14">
        <v>3</v>
      </c>
      <c r="K14">
        <v>1</v>
      </c>
      <c r="L14">
        <v>998</v>
      </c>
      <c r="M14">
        <v>998</v>
      </c>
    </row>
    <row r="15" spans="1:13">
      <c r="A15">
        <v>26</v>
      </c>
      <c r="B15">
        <v>1</v>
      </c>
      <c r="C15">
        <v>720</v>
      </c>
      <c r="D15">
        <v>97</v>
      </c>
      <c r="E15">
        <v>97</v>
      </c>
      <c r="F15">
        <v>99</v>
      </c>
      <c r="G15">
        <v>3.4</v>
      </c>
      <c r="H15">
        <v>4</v>
      </c>
      <c r="I15">
        <v>1</v>
      </c>
      <c r="J15">
        <v>2</v>
      </c>
      <c r="K15">
        <v>1</v>
      </c>
      <c r="L15">
        <v>998</v>
      </c>
      <c r="M15">
        <v>998</v>
      </c>
    </row>
    <row r="16" spans="1:13">
      <c r="A16">
        <v>26</v>
      </c>
      <c r="B16">
        <v>2</v>
      </c>
      <c r="C16">
        <v>660</v>
      </c>
      <c r="D16">
        <v>84</v>
      </c>
      <c r="E16">
        <v>93</v>
      </c>
      <c r="F16">
        <v>94</v>
      </c>
      <c r="G16">
        <v>3.3</v>
      </c>
      <c r="H16">
        <v>3.25</v>
      </c>
      <c r="I16">
        <v>1</v>
      </c>
      <c r="J16">
        <v>4</v>
      </c>
      <c r="K16">
        <v>1</v>
      </c>
      <c r="L16">
        <v>998</v>
      </c>
      <c r="M16">
        <v>998</v>
      </c>
    </row>
    <row r="17" spans="1:13">
      <c r="A17">
        <v>26</v>
      </c>
      <c r="B17">
        <v>2</v>
      </c>
      <c r="C17">
        <v>640</v>
      </c>
      <c r="D17">
        <v>67</v>
      </c>
      <c r="E17">
        <v>98</v>
      </c>
      <c r="F17">
        <v>92</v>
      </c>
      <c r="G17">
        <v>4</v>
      </c>
      <c r="H17">
        <v>4</v>
      </c>
      <c r="I17">
        <v>1</v>
      </c>
      <c r="J17">
        <v>2</v>
      </c>
      <c r="K17">
        <v>1</v>
      </c>
      <c r="L17">
        <v>998</v>
      </c>
      <c r="M17">
        <v>998</v>
      </c>
    </row>
    <row r="18" spans="1:13">
      <c r="A18">
        <v>27</v>
      </c>
      <c r="B18">
        <v>2</v>
      </c>
      <c r="C18">
        <v>660</v>
      </c>
      <c r="D18">
        <v>71</v>
      </c>
      <c r="E18">
        <v>99</v>
      </c>
      <c r="F18">
        <v>95</v>
      </c>
      <c r="G18">
        <v>3.5</v>
      </c>
      <c r="H18">
        <v>4</v>
      </c>
      <c r="I18">
        <v>1</v>
      </c>
      <c r="J18">
        <v>4</v>
      </c>
      <c r="K18">
        <v>1</v>
      </c>
      <c r="L18">
        <v>998</v>
      </c>
      <c r="M18">
        <v>998</v>
      </c>
    </row>
    <row r="19" spans="1:13">
      <c r="A19">
        <v>27</v>
      </c>
      <c r="B19">
        <v>1</v>
      </c>
      <c r="C19">
        <v>600</v>
      </c>
      <c r="D19">
        <v>77</v>
      </c>
      <c r="E19">
        <v>78</v>
      </c>
      <c r="F19">
        <v>84</v>
      </c>
      <c r="G19">
        <v>3.3</v>
      </c>
      <c r="H19">
        <v>3.5</v>
      </c>
      <c r="I19">
        <v>1</v>
      </c>
      <c r="J19">
        <v>3</v>
      </c>
      <c r="K19">
        <v>2</v>
      </c>
      <c r="L19">
        <v>998</v>
      </c>
      <c r="M19">
        <v>998</v>
      </c>
    </row>
    <row r="20" spans="1:13">
      <c r="A20">
        <v>27</v>
      </c>
      <c r="B20">
        <v>1</v>
      </c>
      <c r="C20">
        <v>630</v>
      </c>
      <c r="D20">
        <v>79</v>
      </c>
      <c r="E20">
        <v>89</v>
      </c>
      <c r="F20">
        <v>89</v>
      </c>
      <c r="G20">
        <v>3.5</v>
      </c>
      <c r="H20">
        <v>4</v>
      </c>
      <c r="I20">
        <v>1</v>
      </c>
      <c r="J20">
        <v>2</v>
      </c>
      <c r="K20">
        <v>1</v>
      </c>
      <c r="L20">
        <v>998</v>
      </c>
      <c r="M20">
        <v>998</v>
      </c>
    </row>
    <row r="21" spans="1:13">
      <c r="A21">
        <v>27</v>
      </c>
      <c r="B21">
        <v>1</v>
      </c>
      <c r="C21">
        <v>600</v>
      </c>
      <c r="D21">
        <v>91</v>
      </c>
      <c r="E21">
        <v>58</v>
      </c>
      <c r="F21">
        <v>83</v>
      </c>
      <c r="G21">
        <v>3.4</v>
      </c>
      <c r="H21">
        <v>3.25</v>
      </c>
      <c r="I21">
        <v>1</v>
      </c>
      <c r="J21">
        <v>4</v>
      </c>
      <c r="K21">
        <v>1</v>
      </c>
      <c r="L21">
        <v>998</v>
      </c>
      <c r="M21">
        <v>998</v>
      </c>
    </row>
    <row r="22" spans="1:13">
      <c r="A22">
        <v>27</v>
      </c>
      <c r="B22">
        <v>2</v>
      </c>
      <c r="C22">
        <v>570</v>
      </c>
      <c r="D22">
        <v>65</v>
      </c>
      <c r="E22">
        <v>82</v>
      </c>
      <c r="F22">
        <v>77</v>
      </c>
      <c r="G22">
        <v>3.3</v>
      </c>
      <c r="H22">
        <v>3.25</v>
      </c>
      <c r="I22">
        <v>1</v>
      </c>
      <c r="J22">
        <v>4</v>
      </c>
      <c r="K22">
        <v>1</v>
      </c>
      <c r="L22">
        <v>999</v>
      </c>
      <c r="M22">
        <v>4</v>
      </c>
    </row>
    <row r="23" spans="1:13">
      <c r="A23">
        <v>27</v>
      </c>
      <c r="B23">
        <v>1</v>
      </c>
      <c r="C23">
        <v>740</v>
      </c>
      <c r="D23">
        <v>99</v>
      </c>
      <c r="E23">
        <v>96</v>
      </c>
      <c r="F23">
        <v>99</v>
      </c>
      <c r="G23">
        <v>3.5</v>
      </c>
      <c r="H23">
        <v>3.5</v>
      </c>
      <c r="I23">
        <v>1</v>
      </c>
      <c r="J23">
        <v>3</v>
      </c>
      <c r="K23">
        <v>1</v>
      </c>
      <c r="L23">
        <v>0</v>
      </c>
      <c r="M23">
        <v>6</v>
      </c>
    </row>
    <row r="24" spans="1:13">
      <c r="A24">
        <v>27</v>
      </c>
      <c r="B24">
        <v>1</v>
      </c>
      <c r="C24">
        <v>750</v>
      </c>
      <c r="D24">
        <v>99</v>
      </c>
      <c r="E24">
        <v>98</v>
      </c>
      <c r="F24">
        <v>99</v>
      </c>
      <c r="G24">
        <v>3.4</v>
      </c>
      <c r="H24">
        <v>3.5</v>
      </c>
      <c r="I24">
        <v>1</v>
      </c>
      <c r="J24">
        <v>1</v>
      </c>
      <c r="K24">
        <v>2</v>
      </c>
      <c r="L24">
        <v>0</v>
      </c>
      <c r="M24">
        <v>5</v>
      </c>
    </row>
    <row r="25" spans="1:13">
      <c r="A25">
        <v>28</v>
      </c>
      <c r="B25">
        <v>2</v>
      </c>
      <c r="C25">
        <v>540</v>
      </c>
      <c r="D25">
        <v>75</v>
      </c>
      <c r="E25">
        <v>50</v>
      </c>
      <c r="F25">
        <v>65</v>
      </c>
      <c r="G25">
        <v>3.6</v>
      </c>
      <c r="H25">
        <v>4</v>
      </c>
      <c r="I25">
        <v>1</v>
      </c>
      <c r="J25">
        <v>5</v>
      </c>
      <c r="K25">
        <v>1</v>
      </c>
      <c r="L25">
        <v>0</v>
      </c>
      <c r="M25">
        <v>5</v>
      </c>
    </row>
    <row r="26" spans="1:13">
      <c r="A26">
        <v>29</v>
      </c>
      <c r="B26">
        <v>1</v>
      </c>
      <c r="C26">
        <v>580</v>
      </c>
      <c r="D26">
        <v>56</v>
      </c>
      <c r="E26">
        <v>87</v>
      </c>
      <c r="F26">
        <v>78</v>
      </c>
      <c r="G26">
        <v>3.64</v>
      </c>
      <c r="H26">
        <v>3.33</v>
      </c>
      <c r="I26">
        <v>1</v>
      </c>
      <c r="J26">
        <v>3</v>
      </c>
      <c r="K26">
        <v>1</v>
      </c>
      <c r="L26">
        <v>0</v>
      </c>
      <c r="M26">
        <v>5</v>
      </c>
    </row>
    <row r="27" spans="1:13">
      <c r="A27">
        <v>30</v>
      </c>
      <c r="B27">
        <v>1</v>
      </c>
      <c r="C27">
        <v>620</v>
      </c>
      <c r="D27">
        <v>82</v>
      </c>
      <c r="E27">
        <v>84</v>
      </c>
      <c r="F27">
        <v>87</v>
      </c>
      <c r="G27">
        <v>3.4</v>
      </c>
      <c r="H27">
        <v>2.8</v>
      </c>
      <c r="I27">
        <v>1</v>
      </c>
      <c r="J27">
        <v>5</v>
      </c>
      <c r="K27">
        <v>1</v>
      </c>
      <c r="L27">
        <v>999</v>
      </c>
      <c r="M27">
        <v>6</v>
      </c>
    </row>
    <row r="28" spans="1:13">
      <c r="A28">
        <v>31</v>
      </c>
      <c r="B28">
        <v>2</v>
      </c>
      <c r="C28">
        <v>560</v>
      </c>
      <c r="D28">
        <v>60</v>
      </c>
      <c r="E28">
        <v>78</v>
      </c>
      <c r="F28">
        <v>72</v>
      </c>
      <c r="G28">
        <v>3.3</v>
      </c>
      <c r="H28">
        <v>3.75</v>
      </c>
      <c r="I28">
        <v>1</v>
      </c>
      <c r="J28">
        <v>10</v>
      </c>
      <c r="K28">
        <v>1</v>
      </c>
      <c r="L28">
        <v>0</v>
      </c>
      <c r="M28">
        <v>7</v>
      </c>
    </row>
    <row r="29" spans="1:13">
      <c r="A29">
        <v>32</v>
      </c>
      <c r="B29">
        <v>1</v>
      </c>
      <c r="C29">
        <v>760</v>
      </c>
      <c r="D29">
        <v>99</v>
      </c>
      <c r="E29">
        <v>99</v>
      </c>
      <c r="F29">
        <v>99</v>
      </c>
      <c r="G29">
        <v>3.4</v>
      </c>
      <c r="H29">
        <v>3</v>
      </c>
      <c r="I29">
        <v>1</v>
      </c>
      <c r="J29">
        <v>5</v>
      </c>
      <c r="K29">
        <v>1</v>
      </c>
      <c r="L29">
        <v>0</v>
      </c>
      <c r="M29">
        <v>5</v>
      </c>
    </row>
    <row r="30" spans="1:13">
      <c r="A30">
        <v>32</v>
      </c>
      <c r="B30">
        <v>1</v>
      </c>
      <c r="C30">
        <v>640</v>
      </c>
      <c r="D30">
        <v>79</v>
      </c>
      <c r="E30">
        <v>91</v>
      </c>
      <c r="F30">
        <v>91</v>
      </c>
      <c r="G30">
        <v>3.6</v>
      </c>
      <c r="H30">
        <v>3.75</v>
      </c>
      <c r="I30">
        <v>1</v>
      </c>
      <c r="J30">
        <v>7</v>
      </c>
      <c r="K30">
        <v>1</v>
      </c>
      <c r="L30">
        <v>0</v>
      </c>
      <c r="M30">
        <v>6</v>
      </c>
    </row>
    <row r="31" spans="1:13">
      <c r="A31">
        <v>32</v>
      </c>
      <c r="B31">
        <v>1</v>
      </c>
      <c r="C31">
        <v>570</v>
      </c>
      <c r="D31">
        <v>71</v>
      </c>
      <c r="E31">
        <v>71</v>
      </c>
      <c r="F31">
        <v>0</v>
      </c>
      <c r="G31">
        <v>3.5</v>
      </c>
      <c r="H31">
        <v>3.5</v>
      </c>
      <c r="I31">
        <v>1</v>
      </c>
      <c r="J31">
        <v>4</v>
      </c>
      <c r="K31">
        <v>1</v>
      </c>
      <c r="L31">
        <v>999</v>
      </c>
      <c r="M31">
        <v>4</v>
      </c>
    </row>
    <row r="32" spans="1:13">
      <c r="A32">
        <v>34</v>
      </c>
      <c r="B32">
        <v>2</v>
      </c>
      <c r="C32">
        <v>620</v>
      </c>
      <c r="D32">
        <v>75</v>
      </c>
      <c r="E32">
        <v>89</v>
      </c>
      <c r="F32">
        <v>87</v>
      </c>
      <c r="G32">
        <v>3.3</v>
      </c>
      <c r="H32">
        <v>3</v>
      </c>
      <c r="I32">
        <v>1</v>
      </c>
      <c r="J32">
        <v>7</v>
      </c>
      <c r="K32">
        <v>1</v>
      </c>
      <c r="L32">
        <v>0</v>
      </c>
      <c r="M32">
        <v>6</v>
      </c>
    </row>
    <row r="33" spans="1:13">
      <c r="A33">
        <v>37</v>
      </c>
      <c r="B33">
        <v>2</v>
      </c>
      <c r="C33">
        <v>560</v>
      </c>
      <c r="D33">
        <v>43</v>
      </c>
      <c r="E33">
        <v>87</v>
      </c>
      <c r="F33">
        <v>72</v>
      </c>
      <c r="G33">
        <v>3.4</v>
      </c>
      <c r="H33">
        <v>3.5</v>
      </c>
      <c r="I33">
        <v>1</v>
      </c>
      <c r="J33">
        <v>9</v>
      </c>
      <c r="K33">
        <v>1</v>
      </c>
      <c r="L33">
        <v>0</v>
      </c>
      <c r="M33">
        <v>6</v>
      </c>
    </row>
    <row r="34" spans="1:13">
      <c r="A34">
        <v>42</v>
      </c>
      <c r="B34">
        <v>2</v>
      </c>
      <c r="C34">
        <v>650</v>
      </c>
      <c r="D34">
        <v>75</v>
      </c>
      <c r="E34">
        <v>98</v>
      </c>
      <c r="F34">
        <v>93</v>
      </c>
      <c r="G34">
        <v>3.38</v>
      </c>
      <c r="H34">
        <v>3</v>
      </c>
      <c r="I34">
        <v>1</v>
      </c>
      <c r="J34">
        <v>13</v>
      </c>
      <c r="K34">
        <v>1</v>
      </c>
      <c r="L34">
        <v>0</v>
      </c>
      <c r="M34">
        <v>5</v>
      </c>
    </row>
    <row r="35" spans="1:13">
      <c r="A35">
        <v>48</v>
      </c>
      <c r="B35">
        <v>1</v>
      </c>
      <c r="C35">
        <v>590</v>
      </c>
      <c r="D35">
        <v>84</v>
      </c>
      <c r="E35">
        <v>62</v>
      </c>
      <c r="F35">
        <v>81</v>
      </c>
      <c r="G35">
        <v>3.8</v>
      </c>
      <c r="H35">
        <v>4</v>
      </c>
      <c r="I35">
        <v>1</v>
      </c>
      <c r="J35">
        <v>22</v>
      </c>
      <c r="K35">
        <v>1</v>
      </c>
      <c r="L35">
        <v>0</v>
      </c>
      <c r="M35">
        <v>6</v>
      </c>
    </row>
    <row r="36" spans="1:13">
      <c r="A36">
        <v>22</v>
      </c>
      <c r="B36">
        <v>2</v>
      </c>
      <c r="C36">
        <v>660</v>
      </c>
      <c r="D36">
        <v>90</v>
      </c>
      <c r="E36">
        <v>92</v>
      </c>
      <c r="F36">
        <v>94</v>
      </c>
      <c r="G36">
        <v>3.5</v>
      </c>
      <c r="H36">
        <v>3.75</v>
      </c>
      <c r="I36">
        <v>1</v>
      </c>
      <c r="J36">
        <v>1</v>
      </c>
      <c r="K36">
        <v>1</v>
      </c>
      <c r="L36">
        <v>85000</v>
      </c>
      <c r="M36">
        <v>5</v>
      </c>
    </row>
    <row r="37" spans="1:13">
      <c r="A37">
        <v>27</v>
      </c>
      <c r="B37">
        <v>2</v>
      </c>
      <c r="C37">
        <v>700</v>
      </c>
      <c r="D37">
        <v>94</v>
      </c>
      <c r="E37">
        <v>98</v>
      </c>
      <c r="F37">
        <v>98</v>
      </c>
      <c r="G37">
        <v>3.3</v>
      </c>
      <c r="H37">
        <v>3.25</v>
      </c>
      <c r="I37">
        <v>1</v>
      </c>
      <c r="J37">
        <v>2</v>
      </c>
      <c r="K37">
        <v>1</v>
      </c>
      <c r="L37">
        <v>85000</v>
      </c>
      <c r="M37">
        <v>6</v>
      </c>
    </row>
    <row r="38" spans="1:13">
      <c r="A38">
        <v>25</v>
      </c>
      <c r="B38">
        <v>2</v>
      </c>
      <c r="C38">
        <v>680</v>
      </c>
      <c r="D38">
        <v>87</v>
      </c>
      <c r="E38">
        <v>96</v>
      </c>
      <c r="F38">
        <v>96</v>
      </c>
      <c r="G38">
        <v>3.5</v>
      </c>
      <c r="H38">
        <v>2.67</v>
      </c>
      <c r="I38">
        <v>1</v>
      </c>
      <c r="J38">
        <v>2</v>
      </c>
      <c r="K38">
        <v>1</v>
      </c>
      <c r="L38">
        <v>86000</v>
      </c>
      <c r="M38">
        <v>5</v>
      </c>
    </row>
    <row r="39" spans="1:13">
      <c r="A39">
        <v>25</v>
      </c>
      <c r="B39">
        <v>2</v>
      </c>
      <c r="C39">
        <v>650</v>
      </c>
      <c r="D39">
        <v>82</v>
      </c>
      <c r="E39">
        <v>91</v>
      </c>
      <c r="F39">
        <v>93</v>
      </c>
      <c r="G39">
        <v>3.4</v>
      </c>
      <c r="H39">
        <v>3.25</v>
      </c>
      <c r="I39">
        <v>1</v>
      </c>
      <c r="J39">
        <v>3</v>
      </c>
      <c r="K39">
        <v>1</v>
      </c>
      <c r="L39">
        <v>88000</v>
      </c>
      <c r="M39">
        <v>7</v>
      </c>
    </row>
    <row r="40" spans="1:13">
      <c r="A40">
        <v>27</v>
      </c>
      <c r="B40">
        <v>1</v>
      </c>
      <c r="C40">
        <v>710</v>
      </c>
      <c r="D40">
        <v>96</v>
      </c>
      <c r="E40">
        <v>96</v>
      </c>
      <c r="F40">
        <v>98</v>
      </c>
      <c r="G40">
        <v>3.3</v>
      </c>
      <c r="H40">
        <v>3.5</v>
      </c>
      <c r="I40">
        <v>1</v>
      </c>
      <c r="J40">
        <v>2</v>
      </c>
      <c r="K40">
        <v>1</v>
      </c>
      <c r="L40">
        <v>92000</v>
      </c>
      <c r="M40">
        <v>6</v>
      </c>
    </row>
    <row r="41" spans="1:13">
      <c r="A41">
        <v>28</v>
      </c>
      <c r="B41">
        <v>2</v>
      </c>
      <c r="C41">
        <v>620</v>
      </c>
      <c r="D41">
        <v>52</v>
      </c>
      <c r="E41">
        <v>98</v>
      </c>
      <c r="F41">
        <v>87</v>
      </c>
      <c r="G41">
        <v>3.4</v>
      </c>
      <c r="H41">
        <v>3.75</v>
      </c>
      <c r="I41">
        <v>1</v>
      </c>
      <c r="J41">
        <v>5</v>
      </c>
      <c r="K41">
        <v>1</v>
      </c>
      <c r="L41">
        <v>93000</v>
      </c>
      <c r="M41">
        <v>5</v>
      </c>
    </row>
    <row r="42" spans="1:13">
      <c r="A42">
        <v>24</v>
      </c>
      <c r="B42">
        <v>1</v>
      </c>
      <c r="C42">
        <v>670</v>
      </c>
      <c r="D42">
        <v>84</v>
      </c>
      <c r="E42">
        <v>96</v>
      </c>
      <c r="F42">
        <v>95</v>
      </c>
      <c r="G42">
        <v>3.3</v>
      </c>
      <c r="H42">
        <v>3.25</v>
      </c>
      <c r="I42">
        <v>1</v>
      </c>
      <c r="J42">
        <v>0</v>
      </c>
      <c r="K42">
        <v>1</v>
      </c>
      <c r="L42">
        <v>95000</v>
      </c>
      <c r="M42">
        <v>4</v>
      </c>
    </row>
    <row r="43" spans="1:13">
      <c r="A43">
        <v>25</v>
      </c>
      <c r="B43">
        <v>2</v>
      </c>
      <c r="C43">
        <v>560</v>
      </c>
      <c r="D43">
        <v>52</v>
      </c>
      <c r="E43">
        <v>81</v>
      </c>
      <c r="F43">
        <v>72</v>
      </c>
      <c r="G43">
        <v>3.3</v>
      </c>
      <c r="H43">
        <v>3.5</v>
      </c>
      <c r="I43">
        <v>1</v>
      </c>
      <c r="J43">
        <v>1</v>
      </c>
      <c r="K43">
        <v>1</v>
      </c>
      <c r="L43">
        <v>95000</v>
      </c>
      <c r="M43">
        <v>5</v>
      </c>
    </row>
    <row r="44" spans="1:13">
      <c r="A44">
        <v>25</v>
      </c>
      <c r="B44">
        <v>2</v>
      </c>
      <c r="C44">
        <v>530</v>
      </c>
      <c r="D44">
        <v>50</v>
      </c>
      <c r="E44">
        <v>62</v>
      </c>
      <c r="F44">
        <v>61</v>
      </c>
      <c r="G44">
        <v>3.6</v>
      </c>
      <c r="H44">
        <v>3.67</v>
      </c>
      <c r="I44">
        <v>1</v>
      </c>
      <c r="J44">
        <v>3</v>
      </c>
      <c r="K44">
        <v>1</v>
      </c>
      <c r="L44">
        <v>95000</v>
      </c>
      <c r="M44">
        <v>3</v>
      </c>
    </row>
    <row r="45" spans="1:13">
      <c r="A45">
        <v>25</v>
      </c>
      <c r="B45">
        <v>1</v>
      </c>
      <c r="C45">
        <v>650</v>
      </c>
      <c r="D45">
        <v>79</v>
      </c>
      <c r="E45">
        <v>93</v>
      </c>
      <c r="F45">
        <v>93</v>
      </c>
      <c r="G45">
        <v>3.3</v>
      </c>
      <c r="H45">
        <v>3.5</v>
      </c>
      <c r="I45">
        <v>1</v>
      </c>
      <c r="J45">
        <v>1</v>
      </c>
      <c r="K45">
        <v>1</v>
      </c>
      <c r="L45">
        <v>96000</v>
      </c>
      <c r="M45">
        <v>7</v>
      </c>
    </row>
    <row r="46" spans="1:13">
      <c r="A46">
        <v>26</v>
      </c>
      <c r="B46">
        <v>2</v>
      </c>
      <c r="C46">
        <v>590</v>
      </c>
      <c r="D46">
        <v>56</v>
      </c>
      <c r="E46">
        <v>89</v>
      </c>
      <c r="F46">
        <v>81</v>
      </c>
      <c r="G46">
        <v>3.3</v>
      </c>
      <c r="H46">
        <v>3.25</v>
      </c>
      <c r="I46">
        <v>1</v>
      </c>
      <c r="J46">
        <v>4</v>
      </c>
      <c r="K46">
        <v>1</v>
      </c>
      <c r="L46">
        <v>96000</v>
      </c>
      <c r="M46">
        <v>5</v>
      </c>
    </row>
    <row r="47" spans="1:13">
      <c r="A47">
        <v>23</v>
      </c>
      <c r="B47">
        <v>2</v>
      </c>
      <c r="C47">
        <v>650</v>
      </c>
      <c r="D47">
        <v>93</v>
      </c>
      <c r="E47">
        <v>81</v>
      </c>
      <c r="F47">
        <v>93</v>
      </c>
      <c r="G47">
        <v>3.4</v>
      </c>
      <c r="H47">
        <v>3</v>
      </c>
      <c r="I47">
        <v>1</v>
      </c>
      <c r="J47">
        <v>2</v>
      </c>
      <c r="K47">
        <v>1</v>
      </c>
      <c r="L47">
        <v>100000</v>
      </c>
      <c r="M47">
        <v>7</v>
      </c>
    </row>
    <row r="48" spans="1:13">
      <c r="A48">
        <v>24</v>
      </c>
      <c r="B48">
        <v>1</v>
      </c>
      <c r="C48">
        <v>560</v>
      </c>
      <c r="D48">
        <v>81</v>
      </c>
      <c r="E48">
        <v>50</v>
      </c>
      <c r="F48">
        <v>71</v>
      </c>
      <c r="G48">
        <v>3.4</v>
      </c>
      <c r="H48">
        <v>3.67</v>
      </c>
      <c r="I48">
        <v>1</v>
      </c>
      <c r="J48">
        <v>2</v>
      </c>
      <c r="K48">
        <v>1</v>
      </c>
      <c r="L48">
        <v>100000</v>
      </c>
      <c r="M48">
        <v>6</v>
      </c>
    </row>
    <row r="49" spans="1:13">
      <c r="A49">
        <v>27</v>
      </c>
      <c r="B49">
        <v>1</v>
      </c>
      <c r="C49">
        <v>610</v>
      </c>
      <c r="D49">
        <v>72</v>
      </c>
      <c r="E49">
        <v>84</v>
      </c>
      <c r="F49">
        <v>86</v>
      </c>
      <c r="G49">
        <v>3.3</v>
      </c>
      <c r="H49">
        <v>3.5</v>
      </c>
      <c r="I49">
        <v>1</v>
      </c>
      <c r="J49">
        <v>6</v>
      </c>
      <c r="K49">
        <v>1</v>
      </c>
      <c r="L49">
        <v>100000</v>
      </c>
      <c r="M49">
        <v>6</v>
      </c>
    </row>
    <row r="50" spans="1:13">
      <c r="A50">
        <v>25</v>
      </c>
      <c r="B50">
        <v>1</v>
      </c>
      <c r="C50">
        <v>650</v>
      </c>
      <c r="D50">
        <v>95</v>
      </c>
      <c r="E50">
        <v>84</v>
      </c>
      <c r="F50">
        <v>93</v>
      </c>
      <c r="G50">
        <v>3.3</v>
      </c>
      <c r="H50">
        <v>3</v>
      </c>
      <c r="I50">
        <v>1</v>
      </c>
      <c r="J50">
        <v>2</v>
      </c>
      <c r="K50">
        <v>1</v>
      </c>
      <c r="L50">
        <v>105000</v>
      </c>
      <c r="M50">
        <v>7</v>
      </c>
    </row>
    <row r="51" spans="1:13">
      <c r="A51">
        <v>25</v>
      </c>
      <c r="B51">
        <v>1</v>
      </c>
      <c r="C51">
        <v>550</v>
      </c>
      <c r="D51">
        <v>74</v>
      </c>
      <c r="E51">
        <v>50</v>
      </c>
      <c r="F51">
        <v>68</v>
      </c>
      <c r="G51">
        <v>3.5</v>
      </c>
      <c r="H51">
        <v>3.5</v>
      </c>
      <c r="I51">
        <v>1</v>
      </c>
      <c r="J51">
        <v>3</v>
      </c>
      <c r="K51">
        <v>1</v>
      </c>
      <c r="L51">
        <v>105000</v>
      </c>
      <c r="M51">
        <v>6</v>
      </c>
    </row>
    <row r="52" spans="1:13">
      <c r="A52">
        <v>26</v>
      </c>
      <c r="B52">
        <v>1</v>
      </c>
      <c r="C52">
        <v>570</v>
      </c>
      <c r="D52">
        <v>68</v>
      </c>
      <c r="E52">
        <v>74</v>
      </c>
      <c r="F52">
        <v>75</v>
      </c>
      <c r="G52">
        <v>3.8</v>
      </c>
      <c r="H52">
        <v>3.5</v>
      </c>
      <c r="I52">
        <v>1</v>
      </c>
      <c r="J52">
        <v>3</v>
      </c>
      <c r="K52">
        <v>1</v>
      </c>
      <c r="L52">
        <v>105000</v>
      </c>
      <c r="M52">
        <v>6</v>
      </c>
    </row>
    <row r="53" spans="1:13">
      <c r="A53">
        <v>26</v>
      </c>
      <c r="B53">
        <v>1</v>
      </c>
      <c r="C53">
        <v>580</v>
      </c>
      <c r="D53">
        <v>79</v>
      </c>
      <c r="E53">
        <v>71</v>
      </c>
      <c r="F53">
        <v>78</v>
      </c>
      <c r="G53">
        <v>3.45</v>
      </c>
      <c r="H53">
        <v>3.5</v>
      </c>
      <c r="I53">
        <v>1</v>
      </c>
      <c r="J53">
        <v>2</v>
      </c>
      <c r="K53">
        <v>1</v>
      </c>
      <c r="L53">
        <v>105000</v>
      </c>
      <c r="M53">
        <v>5</v>
      </c>
    </row>
    <row r="54" spans="1:13">
      <c r="A54">
        <v>30</v>
      </c>
      <c r="B54">
        <v>1</v>
      </c>
      <c r="C54">
        <v>600</v>
      </c>
      <c r="D54">
        <v>60</v>
      </c>
      <c r="E54">
        <v>91</v>
      </c>
      <c r="F54">
        <v>83</v>
      </c>
      <c r="G54">
        <v>3.3</v>
      </c>
      <c r="H54">
        <v>3.25</v>
      </c>
      <c r="I54">
        <v>1</v>
      </c>
      <c r="J54">
        <v>5</v>
      </c>
      <c r="K54">
        <v>1</v>
      </c>
      <c r="L54">
        <v>105000</v>
      </c>
      <c r="M54">
        <v>6</v>
      </c>
    </row>
    <row r="55" spans="1:13">
      <c r="A55">
        <v>31</v>
      </c>
      <c r="B55">
        <v>1</v>
      </c>
      <c r="C55">
        <v>570</v>
      </c>
      <c r="D55">
        <v>72</v>
      </c>
      <c r="E55">
        <v>71</v>
      </c>
      <c r="F55">
        <v>75</v>
      </c>
      <c r="G55">
        <v>3.6</v>
      </c>
      <c r="H55">
        <v>3.5</v>
      </c>
      <c r="I55">
        <v>1</v>
      </c>
      <c r="J55">
        <v>6</v>
      </c>
      <c r="K55">
        <v>1</v>
      </c>
      <c r="L55">
        <v>105000</v>
      </c>
      <c r="M55">
        <v>6</v>
      </c>
    </row>
    <row r="56" spans="1:13">
      <c r="A56">
        <v>30</v>
      </c>
      <c r="B56">
        <v>1</v>
      </c>
      <c r="C56">
        <v>620</v>
      </c>
      <c r="D56">
        <v>60</v>
      </c>
      <c r="E56">
        <v>96</v>
      </c>
      <c r="F56">
        <v>87</v>
      </c>
      <c r="G56">
        <v>3.5</v>
      </c>
      <c r="H56">
        <v>3</v>
      </c>
      <c r="I56">
        <v>1</v>
      </c>
      <c r="J56">
        <v>8</v>
      </c>
      <c r="K56">
        <v>1</v>
      </c>
      <c r="L56">
        <v>106000</v>
      </c>
      <c r="M56">
        <v>7</v>
      </c>
    </row>
    <row r="57" spans="1:13">
      <c r="A57">
        <v>30</v>
      </c>
      <c r="B57">
        <v>2</v>
      </c>
      <c r="C57">
        <v>680</v>
      </c>
      <c r="D57">
        <v>96</v>
      </c>
      <c r="E57">
        <v>87</v>
      </c>
      <c r="F57">
        <v>96</v>
      </c>
      <c r="G57">
        <v>3.7</v>
      </c>
      <c r="H57">
        <v>3.6</v>
      </c>
      <c r="I57">
        <v>1</v>
      </c>
      <c r="J57">
        <v>6</v>
      </c>
      <c r="K57">
        <v>1</v>
      </c>
      <c r="L57">
        <v>106000</v>
      </c>
      <c r="M57">
        <v>6</v>
      </c>
    </row>
    <row r="58" spans="1:13">
      <c r="A58">
        <v>27</v>
      </c>
      <c r="B58">
        <v>1</v>
      </c>
      <c r="C58">
        <v>630</v>
      </c>
      <c r="D58">
        <v>93</v>
      </c>
      <c r="E58">
        <v>75</v>
      </c>
      <c r="F58">
        <v>91</v>
      </c>
      <c r="G58">
        <v>3.3</v>
      </c>
      <c r="H58">
        <v>3.25</v>
      </c>
      <c r="I58">
        <v>1</v>
      </c>
      <c r="J58">
        <v>3</v>
      </c>
      <c r="K58">
        <v>1</v>
      </c>
      <c r="L58">
        <v>107500</v>
      </c>
      <c r="M58">
        <v>5</v>
      </c>
    </row>
    <row r="59" spans="1:13">
      <c r="A59">
        <v>25</v>
      </c>
      <c r="B59">
        <v>1</v>
      </c>
      <c r="C59">
        <v>600</v>
      </c>
      <c r="D59">
        <v>82</v>
      </c>
      <c r="E59">
        <v>74</v>
      </c>
      <c r="F59">
        <v>83</v>
      </c>
      <c r="G59">
        <v>3.5</v>
      </c>
      <c r="H59">
        <v>3.25</v>
      </c>
      <c r="I59">
        <v>1</v>
      </c>
      <c r="J59">
        <v>3</v>
      </c>
      <c r="K59">
        <v>1</v>
      </c>
      <c r="L59">
        <v>108000</v>
      </c>
      <c r="M59">
        <v>6</v>
      </c>
    </row>
    <row r="60" spans="1:13">
      <c r="A60">
        <v>28</v>
      </c>
      <c r="B60">
        <v>2</v>
      </c>
      <c r="C60">
        <v>640</v>
      </c>
      <c r="D60">
        <v>89</v>
      </c>
      <c r="E60">
        <v>81</v>
      </c>
      <c r="F60">
        <v>91</v>
      </c>
      <c r="G60">
        <v>3.6</v>
      </c>
      <c r="H60">
        <v>3.5</v>
      </c>
      <c r="I60">
        <v>1</v>
      </c>
      <c r="J60">
        <v>6</v>
      </c>
      <c r="K60">
        <v>1</v>
      </c>
      <c r="L60">
        <v>110000</v>
      </c>
      <c r="M60">
        <v>5</v>
      </c>
    </row>
    <row r="61" spans="1:13">
      <c r="A61">
        <v>39</v>
      </c>
      <c r="B61">
        <v>1</v>
      </c>
      <c r="C61">
        <v>600</v>
      </c>
      <c r="D61">
        <v>72</v>
      </c>
      <c r="E61">
        <v>81</v>
      </c>
      <c r="F61">
        <v>83</v>
      </c>
      <c r="G61">
        <v>3.6</v>
      </c>
      <c r="H61">
        <v>3.5</v>
      </c>
      <c r="I61">
        <v>1</v>
      </c>
      <c r="J61">
        <v>16</v>
      </c>
      <c r="K61">
        <v>1</v>
      </c>
      <c r="L61">
        <v>112000</v>
      </c>
      <c r="M61">
        <v>7</v>
      </c>
    </row>
    <row r="62" spans="1:13">
      <c r="A62">
        <v>27</v>
      </c>
      <c r="B62">
        <v>1</v>
      </c>
      <c r="C62">
        <v>570</v>
      </c>
      <c r="D62">
        <v>95</v>
      </c>
      <c r="E62">
        <v>33</v>
      </c>
      <c r="F62">
        <v>75</v>
      </c>
      <c r="G62">
        <v>3.7</v>
      </c>
      <c r="H62">
        <v>4</v>
      </c>
      <c r="I62">
        <v>1</v>
      </c>
      <c r="J62">
        <v>4</v>
      </c>
      <c r="K62">
        <v>1</v>
      </c>
      <c r="L62">
        <v>115000</v>
      </c>
      <c r="M62">
        <v>5</v>
      </c>
    </row>
    <row r="63" spans="1:13">
      <c r="A63">
        <v>27</v>
      </c>
      <c r="B63">
        <v>1</v>
      </c>
      <c r="C63">
        <v>710</v>
      </c>
      <c r="D63">
        <v>95</v>
      </c>
      <c r="E63">
        <v>98</v>
      </c>
      <c r="F63">
        <v>98</v>
      </c>
      <c r="G63">
        <v>3.6</v>
      </c>
      <c r="H63">
        <v>3.5</v>
      </c>
      <c r="I63">
        <v>1</v>
      </c>
      <c r="J63">
        <v>1</v>
      </c>
      <c r="K63">
        <v>1</v>
      </c>
      <c r="L63">
        <v>115000</v>
      </c>
      <c r="M63">
        <v>5</v>
      </c>
    </row>
    <row r="64" spans="1:13">
      <c r="A64">
        <v>33</v>
      </c>
      <c r="B64">
        <v>1</v>
      </c>
      <c r="C64">
        <v>620</v>
      </c>
      <c r="D64">
        <v>72</v>
      </c>
      <c r="E64">
        <v>89</v>
      </c>
      <c r="F64">
        <v>87</v>
      </c>
      <c r="G64">
        <v>3.5</v>
      </c>
      <c r="H64">
        <v>3.5</v>
      </c>
      <c r="I64">
        <v>1</v>
      </c>
      <c r="J64">
        <v>10</v>
      </c>
      <c r="K64">
        <v>2</v>
      </c>
      <c r="L64">
        <v>118000</v>
      </c>
      <c r="M64">
        <v>7</v>
      </c>
    </row>
    <row r="65" spans="1:13">
      <c r="A65">
        <v>27</v>
      </c>
      <c r="B65">
        <v>1</v>
      </c>
      <c r="C65">
        <v>600</v>
      </c>
      <c r="D65">
        <v>67</v>
      </c>
      <c r="E65">
        <v>84</v>
      </c>
      <c r="F65">
        <v>83</v>
      </c>
      <c r="G65">
        <v>3.5</v>
      </c>
      <c r="H65">
        <v>3</v>
      </c>
      <c r="I65">
        <v>1</v>
      </c>
      <c r="J65">
        <v>3</v>
      </c>
      <c r="K65">
        <v>1</v>
      </c>
      <c r="L65">
        <v>120000</v>
      </c>
      <c r="M65">
        <v>5</v>
      </c>
    </row>
    <row r="66" spans="1:13">
      <c r="A66">
        <v>28</v>
      </c>
      <c r="B66">
        <v>1</v>
      </c>
      <c r="C66">
        <v>700</v>
      </c>
      <c r="D66">
        <v>95</v>
      </c>
      <c r="E66">
        <v>95</v>
      </c>
      <c r="F66">
        <v>98</v>
      </c>
      <c r="G66">
        <v>3.8</v>
      </c>
      <c r="H66">
        <v>4</v>
      </c>
      <c r="I66">
        <v>1</v>
      </c>
      <c r="J66">
        <v>5</v>
      </c>
      <c r="K66">
        <v>1</v>
      </c>
      <c r="L66">
        <v>120000</v>
      </c>
      <c r="M66">
        <v>5</v>
      </c>
    </row>
    <row r="67" spans="1:13">
      <c r="A67">
        <v>30</v>
      </c>
      <c r="B67">
        <v>1</v>
      </c>
      <c r="C67">
        <v>600</v>
      </c>
      <c r="D67">
        <v>77</v>
      </c>
      <c r="E67">
        <v>81</v>
      </c>
      <c r="F67">
        <v>84</v>
      </c>
      <c r="G67">
        <v>3.5</v>
      </c>
      <c r="H67">
        <v>3.25</v>
      </c>
      <c r="I67">
        <v>1</v>
      </c>
      <c r="J67">
        <v>5</v>
      </c>
      <c r="K67">
        <v>1</v>
      </c>
      <c r="L67">
        <v>120000</v>
      </c>
      <c r="M67">
        <v>6</v>
      </c>
    </row>
    <row r="68" spans="1:13">
      <c r="A68">
        <v>30</v>
      </c>
      <c r="B68">
        <v>2</v>
      </c>
      <c r="C68">
        <v>670</v>
      </c>
      <c r="D68">
        <v>87</v>
      </c>
      <c r="E68">
        <v>95</v>
      </c>
      <c r="F68">
        <v>95</v>
      </c>
      <c r="G68">
        <v>3.3</v>
      </c>
      <c r="H68">
        <v>3.25</v>
      </c>
      <c r="I68">
        <v>1</v>
      </c>
      <c r="J68">
        <v>8</v>
      </c>
      <c r="K68">
        <v>1</v>
      </c>
      <c r="L68">
        <v>120000</v>
      </c>
      <c r="M68">
        <v>6</v>
      </c>
    </row>
    <row r="69" spans="1:13">
      <c r="A69">
        <v>40</v>
      </c>
      <c r="B69">
        <v>1</v>
      </c>
      <c r="C69">
        <v>630</v>
      </c>
      <c r="D69">
        <v>71</v>
      </c>
      <c r="E69">
        <v>95</v>
      </c>
      <c r="F69">
        <v>91</v>
      </c>
      <c r="G69">
        <v>4</v>
      </c>
      <c r="H69">
        <v>0</v>
      </c>
      <c r="I69">
        <v>1</v>
      </c>
      <c r="J69">
        <v>15</v>
      </c>
      <c r="K69">
        <v>1</v>
      </c>
      <c r="L69">
        <v>146000</v>
      </c>
      <c r="M69">
        <v>6</v>
      </c>
    </row>
    <row r="70" spans="1:13">
      <c r="A70">
        <v>25</v>
      </c>
      <c r="B70">
        <v>1</v>
      </c>
      <c r="C70">
        <v>700</v>
      </c>
      <c r="D70">
        <v>98</v>
      </c>
      <c r="E70">
        <v>93</v>
      </c>
      <c r="F70">
        <v>98</v>
      </c>
      <c r="G70">
        <v>3.6</v>
      </c>
      <c r="H70">
        <v>3.75</v>
      </c>
      <c r="I70">
        <v>1</v>
      </c>
      <c r="J70">
        <v>1</v>
      </c>
      <c r="K70">
        <v>1</v>
      </c>
      <c r="L70">
        <v>162000</v>
      </c>
      <c r="M70">
        <v>5</v>
      </c>
    </row>
    <row r="71" spans="1:13">
      <c r="A71">
        <v>22</v>
      </c>
      <c r="B71">
        <v>1</v>
      </c>
      <c r="C71">
        <v>600</v>
      </c>
      <c r="D71">
        <v>95</v>
      </c>
      <c r="E71">
        <v>54</v>
      </c>
      <c r="F71">
        <v>83</v>
      </c>
      <c r="G71">
        <v>3</v>
      </c>
      <c r="H71">
        <v>3</v>
      </c>
      <c r="I71">
        <v>2</v>
      </c>
      <c r="J71">
        <v>1</v>
      </c>
      <c r="K71">
        <v>1</v>
      </c>
      <c r="L71">
        <v>0</v>
      </c>
      <c r="M71">
        <v>5</v>
      </c>
    </row>
    <row r="72" spans="1:13">
      <c r="A72">
        <v>23</v>
      </c>
      <c r="B72">
        <v>1</v>
      </c>
      <c r="C72">
        <v>640</v>
      </c>
      <c r="D72">
        <v>89</v>
      </c>
      <c r="E72">
        <v>87</v>
      </c>
      <c r="F72">
        <v>92</v>
      </c>
      <c r="G72">
        <v>3</v>
      </c>
      <c r="H72">
        <v>3</v>
      </c>
      <c r="I72">
        <v>2</v>
      </c>
      <c r="J72">
        <v>2</v>
      </c>
      <c r="K72">
        <v>1</v>
      </c>
      <c r="L72">
        <v>0</v>
      </c>
      <c r="M72">
        <v>7</v>
      </c>
    </row>
    <row r="73" spans="1:13">
      <c r="A73">
        <v>24</v>
      </c>
      <c r="B73">
        <v>1</v>
      </c>
      <c r="C73">
        <v>550</v>
      </c>
      <c r="D73">
        <v>73</v>
      </c>
      <c r="E73">
        <v>63</v>
      </c>
      <c r="F73">
        <v>69</v>
      </c>
      <c r="G73">
        <v>3.1</v>
      </c>
      <c r="H73">
        <v>3</v>
      </c>
      <c r="I73">
        <v>2</v>
      </c>
      <c r="J73">
        <v>0</v>
      </c>
      <c r="K73">
        <v>2</v>
      </c>
      <c r="L73">
        <v>0</v>
      </c>
      <c r="M73">
        <v>5</v>
      </c>
    </row>
    <row r="74" spans="1:13">
      <c r="A74">
        <v>24</v>
      </c>
      <c r="B74">
        <v>1</v>
      </c>
      <c r="C74">
        <v>570</v>
      </c>
      <c r="D74">
        <v>82</v>
      </c>
      <c r="E74">
        <v>58</v>
      </c>
      <c r="F74">
        <v>75</v>
      </c>
      <c r="G74">
        <v>3.09</v>
      </c>
      <c r="H74">
        <v>3.5</v>
      </c>
      <c r="I74">
        <v>2</v>
      </c>
      <c r="J74">
        <v>2</v>
      </c>
      <c r="K74">
        <v>1</v>
      </c>
      <c r="L74">
        <v>0</v>
      </c>
      <c r="M74">
        <v>6</v>
      </c>
    </row>
    <row r="75" spans="1:13">
      <c r="A75">
        <v>24</v>
      </c>
      <c r="B75">
        <v>1</v>
      </c>
      <c r="C75">
        <v>620</v>
      </c>
      <c r="D75">
        <v>82</v>
      </c>
      <c r="E75">
        <v>84</v>
      </c>
      <c r="F75">
        <v>87</v>
      </c>
      <c r="G75">
        <v>3.1</v>
      </c>
      <c r="H75">
        <v>3.5</v>
      </c>
      <c r="I75">
        <v>2</v>
      </c>
      <c r="J75">
        <v>1</v>
      </c>
      <c r="K75">
        <v>1</v>
      </c>
      <c r="L75">
        <v>0</v>
      </c>
      <c r="M75">
        <v>5</v>
      </c>
    </row>
    <row r="76" spans="1:13">
      <c r="A76">
        <v>25</v>
      </c>
      <c r="B76">
        <v>2</v>
      </c>
      <c r="C76">
        <v>570</v>
      </c>
      <c r="D76">
        <v>61</v>
      </c>
      <c r="E76">
        <v>81</v>
      </c>
      <c r="F76">
        <v>76</v>
      </c>
      <c r="G76">
        <v>3</v>
      </c>
      <c r="H76">
        <v>3.25</v>
      </c>
      <c r="I76">
        <v>2</v>
      </c>
      <c r="J76">
        <v>3</v>
      </c>
      <c r="K76">
        <v>1</v>
      </c>
      <c r="L76">
        <v>0</v>
      </c>
      <c r="M76">
        <v>4</v>
      </c>
    </row>
    <row r="77" spans="1:13">
      <c r="A77">
        <v>25</v>
      </c>
      <c r="B77">
        <v>1</v>
      </c>
      <c r="C77">
        <v>660</v>
      </c>
      <c r="D77">
        <v>94</v>
      </c>
      <c r="E77">
        <v>84</v>
      </c>
      <c r="F77">
        <v>94</v>
      </c>
      <c r="G77">
        <v>3.27</v>
      </c>
      <c r="H77">
        <v>3.75</v>
      </c>
      <c r="I77">
        <v>2</v>
      </c>
      <c r="J77">
        <v>2</v>
      </c>
      <c r="K77">
        <v>1</v>
      </c>
      <c r="L77">
        <v>0</v>
      </c>
      <c r="M77">
        <v>5</v>
      </c>
    </row>
    <row r="78" spans="1:13">
      <c r="A78">
        <v>25</v>
      </c>
      <c r="B78">
        <v>1</v>
      </c>
      <c r="C78">
        <v>680</v>
      </c>
      <c r="D78">
        <v>94</v>
      </c>
      <c r="E78">
        <v>92</v>
      </c>
      <c r="F78">
        <v>97</v>
      </c>
      <c r="G78">
        <v>3.17</v>
      </c>
      <c r="H78">
        <v>3.5</v>
      </c>
      <c r="I78">
        <v>2</v>
      </c>
      <c r="J78">
        <v>2</v>
      </c>
      <c r="K78">
        <v>1</v>
      </c>
      <c r="L78">
        <v>0</v>
      </c>
      <c r="M78">
        <v>6</v>
      </c>
    </row>
    <row r="79" spans="1:13">
      <c r="A79">
        <v>25</v>
      </c>
      <c r="B79">
        <v>1</v>
      </c>
      <c r="C79">
        <v>690</v>
      </c>
      <c r="D79">
        <v>87</v>
      </c>
      <c r="E79">
        <v>98</v>
      </c>
      <c r="F79">
        <v>98</v>
      </c>
      <c r="G79">
        <v>3</v>
      </c>
      <c r="H79">
        <v>3</v>
      </c>
      <c r="I79">
        <v>2</v>
      </c>
      <c r="J79">
        <v>3</v>
      </c>
      <c r="K79">
        <v>1</v>
      </c>
      <c r="L79">
        <v>999</v>
      </c>
      <c r="M79">
        <v>5</v>
      </c>
    </row>
    <row r="80" spans="1:13">
      <c r="A80">
        <v>25</v>
      </c>
      <c r="B80">
        <v>2</v>
      </c>
      <c r="C80">
        <v>670</v>
      </c>
      <c r="D80">
        <v>99</v>
      </c>
      <c r="E80">
        <v>85</v>
      </c>
      <c r="F80">
        <v>96</v>
      </c>
      <c r="G80">
        <v>3</v>
      </c>
      <c r="H80">
        <v>3.25</v>
      </c>
      <c r="I80">
        <v>2</v>
      </c>
      <c r="J80">
        <v>2</v>
      </c>
      <c r="K80">
        <v>2</v>
      </c>
      <c r="L80">
        <v>998</v>
      </c>
      <c r="M80">
        <v>998</v>
      </c>
    </row>
    <row r="81" spans="1:13">
      <c r="A81">
        <v>25</v>
      </c>
      <c r="B81">
        <v>1</v>
      </c>
      <c r="C81">
        <v>690</v>
      </c>
      <c r="D81">
        <v>94</v>
      </c>
      <c r="E81">
        <v>95</v>
      </c>
      <c r="F81">
        <v>98</v>
      </c>
      <c r="G81">
        <v>3</v>
      </c>
      <c r="H81">
        <v>2.75</v>
      </c>
      <c r="I81">
        <v>2</v>
      </c>
      <c r="J81">
        <v>2</v>
      </c>
      <c r="K81">
        <v>1</v>
      </c>
      <c r="L81">
        <v>998</v>
      </c>
      <c r="M81">
        <v>998</v>
      </c>
    </row>
    <row r="82" spans="1:13">
      <c r="A82">
        <v>25</v>
      </c>
      <c r="B82">
        <v>2</v>
      </c>
      <c r="C82">
        <v>630</v>
      </c>
      <c r="D82">
        <v>83</v>
      </c>
      <c r="E82">
        <v>89</v>
      </c>
      <c r="F82">
        <v>90</v>
      </c>
      <c r="G82">
        <v>3</v>
      </c>
      <c r="H82">
        <v>2.75</v>
      </c>
      <c r="I82">
        <v>2</v>
      </c>
      <c r="J82">
        <v>3</v>
      </c>
      <c r="K82">
        <v>1</v>
      </c>
      <c r="L82">
        <v>998</v>
      </c>
      <c r="M82">
        <v>998</v>
      </c>
    </row>
    <row r="83" spans="1:13">
      <c r="A83">
        <v>25</v>
      </c>
      <c r="B83">
        <v>1</v>
      </c>
      <c r="C83">
        <v>670</v>
      </c>
      <c r="D83">
        <v>99</v>
      </c>
      <c r="E83">
        <v>74</v>
      </c>
      <c r="F83">
        <v>96</v>
      </c>
      <c r="G83">
        <v>3.18</v>
      </c>
      <c r="H83">
        <v>3.25</v>
      </c>
      <c r="I83">
        <v>2</v>
      </c>
      <c r="J83">
        <v>2</v>
      </c>
      <c r="K83">
        <v>2</v>
      </c>
      <c r="L83">
        <v>998</v>
      </c>
      <c r="M83">
        <v>998</v>
      </c>
    </row>
    <row r="84" spans="1:13">
      <c r="A84">
        <v>25</v>
      </c>
      <c r="B84">
        <v>1</v>
      </c>
      <c r="C84">
        <v>680</v>
      </c>
      <c r="D84">
        <v>91</v>
      </c>
      <c r="E84">
        <v>95</v>
      </c>
      <c r="F84">
        <v>97</v>
      </c>
      <c r="G84">
        <v>3</v>
      </c>
      <c r="H84">
        <v>3</v>
      </c>
      <c r="I84">
        <v>2</v>
      </c>
      <c r="J84">
        <v>2</v>
      </c>
      <c r="K84">
        <v>1</v>
      </c>
      <c r="L84">
        <v>998</v>
      </c>
      <c r="M84">
        <v>998</v>
      </c>
    </row>
    <row r="85" spans="1:13">
      <c r="A85">
        <v>25</v>
      </c>
      <c r="B85">
        <v>1</v>
      </c>
      <c r="C85">
        <v>690</v>
      </c>
      <c r="D85">
        <v>96</v>
      </c>
      <c r="E85">
        <v>89</v>
      </c>
      <c r="F85">
        <v>97</v>
      </c>
      <c r="G85">
        <v>3</v>
      </c>
      <c r="H85">
        <v>3</v>
      </c>
      <c r="I85">
        <v>2</v>
      </c>
      <c r="J85">
        <v>3</v>
      </c>
      <c r="K85">
        <v>1</v>
      </c>
      <c r="L85">
        <v>998</v>
      </c>
      <c r="M85">
        <v>998</v>
      </c>
    </row>
    <row r="86" spans="1:13">
      <c r="A86">
        <v>25</v>
      </c>
      <c r="B86">
        <v>1</v>
      </c>
      <c r="C86">
        <v>670</v>
      </c>
      <c r="D86">
        <v>97</v>
      </c>
      <c r="E86">
        <v>81</v>
      </c>
      <c r="F86">
        <v>95</v>
      </c>
      <c r="G86">
        <v>3.1</v>
      </c>
      <c r="H86">
        <v>3.25</v>
      </c>
      <c r="I86">
        <v>2</v>
      </c>
      <c r="J86">
        <v>2</v>
      </c>
      <c r="K86">
        <v>1</v>
      </c>
      <c r="L86">
        <v>998</v>
      </c>
      <c r="M86">
        <v>998</v>
      </c>
    </row>
    <row r="87" spans="1:13">
      <c r="A87">
        <v>25</v>
      </c>
      <c r="B87">
        <v>1</v>
      </c>
      <c r="C87">
        <v>580</v>
      </c>
      <c r="D87">
        <v>79</v>
      </c>
      <c r="E87">
        <v>71</v>
      </c>
      <c r="F87">
        <v>78</v>
      </c>
      <c r="G87">
        <v>3.1</v>
      </c>
      <c r="H87">
        <v>2.33</v>
      </c>
      <c r="I87">
        <v>2</v>
      </c>
      <c r="J87">
        <v>2</v>
      </c>
      <c r="K87">
        <v>1</v>
      </c>
      <c r="L87">
        <v>998</v>
      </c>
      <c r="M87">
        <v>998</v>
      </c>
    </row>
    <row r="88" spans="1:13">
      <c r="A88">
        <v>26</v>
      </c>
      <c r="B88">
        <v>1</v>
      </c>
      <c r="C88">
        <v>680</v>
      </c>
      <c r="D88">
        <v>92</v>
      </c>
      <c r="E88">
        <v>93</v>
      </c>
      <c r="F88">
        <v>97</v>
      </c>
      <c r="G88">
        <v>3</v>
      </c>
      <c r="H88">
        <v>3</v>
      </c>
      <c r="I88">
        <v>2</v>
      </c>
      <c r="J88">
        <v>3</v>
      </c>
      <c r="K88">
        <v>1</v>
      </c>
      <c r="L88">
        <v>999</v>
      </c>
      <c r="M88">
        <v>1</v>
      </c>
    </row>
    <row r="89" spans="1:13">
      <c r="A89">
        <v>26</v>
      </c>
      <c r="B89">
        <v>2</v>
      </c>
      <c r="C89">
        <v>560</v>
      </c>
      <c r="D89">
        <v>64</v>
      </c>
      <c r="E89">
        <v>71</v>
      </c>
      <c r="F89">
        <v>72</v>
      </c>
      <c r="G89">
        <v>3.2</v>
      </c>
      <c r="H89">
        <v>3.25</v>
      </c>
      <c r="I89">
        <v>2</v>
      </c>
      <c r="J89">
        <v>3</v>
      </c>
      <c r="K89">
        <v>1</v>
      </c>
      <c r="L89">
        <v>0</v>
      </c>
      <c r="M89">
        <v>6</v>
      </c>
    </row>
    <row r="90" spans="1:13">
      <c r="A90">
        <v>26</v>
      </c>
      <c r="B90">
        <v>1</v>
      </c>
      <c r="C90">
        <v>560</v>
      </c>
      <c r="D90">
        <v>87</v>
      </c>
      <c r="E90">
        <v>41</v>
      </c>
      <c r="F90">
        <v>72</v>
      </c>
      <c r="G90">
        <v>3</v>
      </c>
      <c r="H90">
        <v>3</v>
      </c>
      <c r="I90">
        <v>2</v>
      </c>
      <c r="J90">
        <v>3</v>
      </c>
      <c r="K90">
        <v>1</v>
      </c>
      <c r="L90">
        <v>0</v>
      </c>
      <c r="M90">
        <v>6</v>
      </c>
    </row>
    <row r="91" spans="1:13">
      <c r="A91">
        <v>26</v>
      </c>
      <c r="B91">
        <v>1</v>
      </c>
      <c r="C91">
        <v>530</v>
      </c>
      <c r="D91">
        <v>68</v>
      </c>
      <c r="E91">
        <v>54</v>
      </c>
      <c r="F91">
        <v>62</v>
      </c>
      <c r="G91">
        <v>3.09</v>
      </c>
      <c r="H91">
        <v>3.17</v>
      </c>
      <c r="I91">
        <v>2</v>
      </c>
      <c r="J91">
        <v>4</v>
      </c>
      <c r="K91">
        <v>2</v>
      </c>
      <c r="L91">
        <v>0</v>
      </c>
      <c r="M91">
        <v>5</v>
      </c>
    </row>
    <row r="92" spans="1:13">
      <c r="A92">
        <v>27</v>
      </c>
      <c r="B92">
        <v>1</v>
      </c>
      <c r="C92">
        <v>740</v>
      </c>
      <c r="D92">
        <v>99</v>
      </c>
      <c r="E92">
        <v>98</v>
      </c>
      <c r="F92">
        <v>99</v>
      </c>
      <c r="G92">
        <v>3.1</v>
      </c>
      <c r="H92">
        <v>3.5</v>
      </c>
      <c r="I92">
        <v>2</v>
      </c>
      <c r="J92">
        <v>2</v>
      </c>
      <c r="K92">
        <v>1</v>
      </c>
      <c r="L92">
        <v>999</v>
      </c>
      <c r="M92">
        <v>4</v>
      </c>
    </row>
    <row r="93" spans="1:13">
      <c r="A93">
        <v>27</v>
      </c>
      <c r="B93">
        <v>1</v>
      </c>
      <c r="C93">
        <v>720</v>
      </c>
      <c r="D93">
        <v>99</v>
      </c>
      <c r="E93">
        <v>95</v>
      </c>
      <c r="F93">
        <v>99</v>
      </c>
      <c r="G93">
        <v>3.1</v>
      </c>
      <c r="H93">
        <v>3.25</v>
      </c>
      <c r="I93">
        <v>2</v>
      </c>
      <c r="J93">
        <v>5</v>
      </c>
      <c r="K93">
        <v>1</v>
      </c>
      <c r="L93">
        <v>0</v>
      </c>
      <c r="M93">
        <v>5</v>
      </c>
    </row>
    <row r="94" spans="1:13">
      <c r="A94">
        <v>27</v>
      </c>
      <c r="B94">
        <v>1</v>
      </c>
      <c r="C94">
        <v>590</v>
      </c>
      <c r="D94">
        <v>60</v>
      </c>
      <c r="E94">
        <v>87</v>
      </c>
      <c r="F94">
        <v>81</v>
      </c>
      <c r="G94">
        <v>3</v>
      </c>
      <c r="H94">
        <v>2.75</v>
      </c>
      <c r="I94">
        <v>2</v>
      </c>
      <c r="J94">
        <v>3</v>
      </c>
      <c r="K94">
        <v>1</v>
      </c>
      <c r="L94">
        <v>0</v>
      </c>
      <c r="M94">
        <v>6</v>
      </c>
    </row>
    <row r="95" spans="1:13">
      <c r="A95">
        <v>27</v>
      </c>
      <c r="B95">
        <v>1</v>
      </c>
      <c r="C95">
        <v>630</v>
      </c>
      <c r="D95">
        <v>87</v>
      </c>
      <c r="E95">
        <v>84</v>
      </c>
      <c r="F95">
        <v>89</v>
      </c>
      <c r="G95">
        <v>3.2</v>
      </c>
      <c r="H95">
        <v>3</v>
      </c>
      <c r="I95">
        <v>2</v>
      </c>
      <c r="J95">
        <v>4</v>
      </c>
      <c r="K95">
        <v>1</v>
      </c>
      <c r="L95">
        <v>998</v>
      </c>
      <c r="M95">
        <v>998</v>
      </c>
    </row>
    <row r="96" spans="1:13">
      <c r="A96">
        <v>27</v>
      </c>
      <c r="B96">
        <v>1</v>
      </c>
      <c r="C96">
        <v>560</v>
      </c>
      <c r="D96">
        <v>60</v>
      </c>
      <c r="E96">
        <v>71</v>
      </c>
      <c r="F96">
        <v>72</v>
      </c>
      <c r="G96">
        <v>3.2</v>
      </c>
      <c r="H96">
        <v>3</v>
      </c>
      <c r="I96">
        <v>2</v>
      </c>
      <c r="J96">
        <v>4</v>
      </c>
      <c r="K96">
        <v>1</v>
      </c>
      <c r="L96">
        <v>998</v>
      </c>
      <c r="M96">
        <v>998</v>
      </c>
    </row>
    <row r="97" spans="1:13">
      <c r="A97">
        <v>28</v>
      </c>
      <c r="B97">
        <v>2</v>
      </c>
      <c r="C97">
        <v>450</v>
      </c>
      <c r="D97">
        <v>49</v>
      </c>
      <c r="E97">
        <v>22</v>
      </c>
      <c r="F97">
        <v>44</v>
      </c>
      <c r="G97">
        <v>3.1</v>
      </c>
      <c r="H97">
        <v>3.75</v>
      </c>
      <c r="I97">
        <v>2</v>
      </c>
      <c r="J97">
        <v>4</v>
      </c>
      <c r="K97">
        <v>2</v>
      </c>
      <c r="L97">
        <v>998</v>
      </c>
      <c r="M97">
        <v>998</v>
      </c>
    </row>
    <row r="98" spans="1:13">
      <c r="A98">
        <v>28</v>
      </c>
      <c r="B98">
        <v>1</v>
      </c>
      <c r="C98">
        <v>620</v>
      </c>
      <c r="D98">
        <v>81</v>
      </c>
      <c r="E98">
        <v>90</v>
      </c>
      <c r="F98">
        <v>89</v>
      </c>
      <c r="G98">
        <v>3.2</v>
      </c>
      <c r="H98">
        <v>3</v>
      </c>
      <c r="I98">
        <v>2</v>
      </c>
      <c r="J98">
        <v>4</v>
      </c>
      <c r="K98">
        <v>1</v>
      </c>
      <c r="L98">
        <v>0</v>
      </c>
      <c r="M98">
        <v>6</v>
      </c>
    </row>
    <row r="99" spans="1:13">
      <c r="A99">
        <v>28</v>
      </c>
      <c r="B99">
        <v>2</v>
      </c>
      <c r="C99">
        <v>610</v>
      </c>
      <c r="D99">
        <v>85</v>
      </c>
      <c r="E99">
        <v>78</v>
      </c>
      <c r="F99">
        <v>86</v>
      </c>
      <c r="G99">
        <v>3.1</v>
      </c>
      <c r="H99">
        <v>3</v>
      </c>
      <c r="I99">
        <v>2</v>
      </c>
      <c r="J99">
        <v>5</v>
      </c>
      <c r="K99">
        <v>1</v>
      </c>
      <c r="L99">
        <v>0</v>
      </c>
      <c r="M99">
        <v>6</v>
      </c>
    </row>
    <row r="100" spans="1:13">
      <c r="A100">
        <v>28</v>
      </c>
      <c r="B100">
        <v>1</v>
      </c>
      <c r="C100">
        <v>660</v>
      </c>
      <c r="D100">
        <v>95</v>
      </c>
      <c r="E100">
        <v>85</v>
      </c>
      <c r="F100">
        <v>96</v>
      </c>
      <c r="G100">
        <v>3.1</v>
      </c>
      <c r="H100">
        <v>3.25</v>
      </c>
      <c r="I100">
        <v>2</v>
      </c>
      <c r="J100">
        <v>4</v>
      </c>
      <c r="K100">
        <v>1</v>
      </c>
      <c r="L100">
        <v>999</v>
      </c>
      <c r="M100">
        <v>3</v>
      </c>
    </row>
    <row r="101" spans="1:13">
      <c r="A101">
        <v>29</v>
      </c>
      <c r="B101">
        <v>1</v>
      </c>
      <c r="C101">
        <v>660</v>
      </c>
      <c r="D101">
        <v>94</v>
      </c>
      <c r="E101">
        <v>87</v>
      </c>
      <c r="F101">
        <v>94</v>
      </c>
      <c r="G101">
        <v>3</v>
      </c>
      <c r="H101">
        <v>3</v>
      </c>
      <c r="I101">
        <v>2</v>
      </c>
      <c r="J101">
        <v>1</v>
      </c>
      <c r="K101">
        <v>1</v>
      </c>
      <c r="L101">
        <v>0</v>
      </c>
      <c r="M101">
        <v>6</v>
      </c>
    </row>
    <row r="102" spans="1:13">
      <c r="A102">
        <v>29</v>
      </c>
      <c r="B102">
        <v>1</v>
      </c>
      <c r="C102">
        <v>580</v>
      </c>
      <c r="D102">
        <v>91</v>
      </c>
      <c r="E102">
        <v>50</v>
      </c>
      <c r="F102">
        <v>80</v>
      </c>
      <c r="G102">
        <v>3.1</v>
      </c>
      <c r="H102">
        <v>2.67</v>
      </c>
      <c r="I102">
        <v>2</v>
      </c>
      <c r="J102">
        <v>4</v>
      </c>
      <c r="K102">
        <v>2</v>
      </c>
      <c r="L102">
        <v>999</v>
      </c>
      <c r="M102">
        <v>4</v>
      </c>
    </row>
    <row r="103" spans="1:13">
      <c r="A103">
        <v>29</v>
      </c>
      <c r="B103">
        <v>1</v>
      </c>
      <c r="C103">
        <v>510</v>
      </c>
      <c r="D103">
        <v>57</v>
      </c>
      <c r="E103">
        <v>50</v>
      </c>
      <c r="F103">
        <v>55</v>
      </c>
      <c r="G103">
        <v>3.27</v>
      </c>
      <c r="H103">
        <v>3.4</v>
      </c>
      <c r="I103">
        <v>2</v>
      </c>
      <c r="J103">
        <v>5</v>
      </c>
      <c r="K103">
        <v>1</v>
      </c>
      <c r="L103">
        <v>0</v>
      </c>
      <c r="M103">
        <v>5</v>
      </c>
    </row>
    <row r="104" spans="1:13">
      <c r="A104">
        <v>29</v>
      </c>
      <c r="B104">
        <v>2</v>
      </c>
      <c r="C104">
        <v>640</v>
      </c>
      <c r="D104">
        <v>90</v>
      </c>
      <c r="E104">
        <v>84</v>
      </c>
      <c r="F104">
        <v>92</v>
      </c>
      <c r="G104">
        <v>3.2</v>
      </c>
      <c r="H104">
        <v>3</v>
      </c>
      <c r="I104">
        <v>2</v>
      </c>
      <c r="J104">
        <v>3</v>
      </c>
      <c r="K104">
        <v>1</v>
      </c>
      <c r="L104">
        <v>0</v>
      </c>
      <c r="M104">
        <v>5</v>
      </c>
    </row>
    <row r="105" spans="1:13">
      <c r="A105">
        <v>29</v>
      </c>
      <c r="B105">
        <v>1</v>
      </c>
      <c r="C105">
        <v>610</v>
      </c>
      <c r="D105">
        <v>91</v>
      </c>
      <c r="E105">
        <v>62</v>
      </c>
      <c r="F105">
        <v>86</v>
      </c>
      <c r="G105">
        <v>3.1</v>
      </c>
      <c r="H105">
        <v>3.67</v>
      </c>
      <c r="I105">
        <v>2</v>
      </c>
      <c r="J105">
        <v>7</v>
      </c>
      <c r="K105">
        <v>1</v>
      </c>
      <c r="L105">
        <v>0</v>
      </c>
      <c r="M105">
        <v>5</v>
      </c>
    </row>
    <row r="106" spans="1:13">
      <c r="A106">
        <v>29</v>
      </c>
      <c r="B106">
        <v>1</v>
      </c>
      <c r="C106">
        <v>590</v>
      </c>
      <c r="D106">
        <v>68</v>
      </c>
      <c r="E106">
        <v>84</v>
      </c>
      <c r="F106">
        <v>81</v>
      </c>
      <c r="G106">
        <v>3.1</v>
      </c>
      <c r="H106">
        <v>3</v>
      </c>
      <c r="I106">
        <v>2</v>
      </c>
      <c r="J106">
        <v>6</v>
      </c>
      <c r="K106">
        <v>1</v>
      </c>
      <c r="L106">
        <v>999</v>
      </c>
      <c r="M106">
        <v>5</v>
      </c>
    </row>
    <row r="107" spans="1:13">
      <c r="A107">
        <v>29</v>
      </c>
      <c r="B107">
        <v>1</v>
      </c>
      <c r="C107">
        <v>580</v>
      </c>
      <c r="D107">
        <v>79</v>
      </c>
      <c r="E107">
        <v>67</v>
      </c>
      <c r="F107">
        <v>78</v>
      </c>
      <c r="G107">
        <v>3</v>
      </c>
      <c r="H107">
        <v>3.25</v>
      </c>
      <c r="I107">
        <v>2</v>
      </c>
      <c r="J107">
        <v>4</v>
      </c>
      <c r="K107">
        <v>1</v>
      </c>
      <c r="L107">
        <v>0</v>
      </c>
      <c r="M107">
        <v>6</v>
      </c>
    </row>
    <row r="108" spans="1:13">
      <c r="A108">
        <v>30</v>
      </c>
      <c r="B108">
        <v>1</v>
      </c>
      <c r="C108">
        <v>680</v>
      </c>
      <c r="D108">
        <v>97</v>
      </c>
      <c r="E108">
        <v>87</v>
      </c>
      <c r="F108">
        <v>96</v>
      </c>
      <c r="G108">
        <v>3</v>
      </c>
      <c r="H108">
        <v>3</v>
      </c>
      <c r="I108">
        <v>2</v>
      </c>
      <c r="J108">
        <v>4</v>
      </c>
      <c r="K108">
        <v>1</v>
      </c>
      <c r="L108">
        <v>0</v>
      </c>
      <c r="M108">
        <v>5</v>
      </c>
    </row>
    <row r="109" spans="1:13">
      <c r="A109">
        <v>31</v>
      </c>
      <c r="B109">
        <v>1</v>
      </c>
      <c r="C109">
        <v>670</v>
      </c>
      <c r="D109">
        <v>83</v>
      </c>
      <c r="E109">
        <v>98</v>
      </c>
      <c r="F109">
        <v>96</v>
      </c>
      <c r="G109">
        <v>3.2</v>
      </c>
      <c r="H109">
        <v>3.4</v>
      </c>
      <c r="I109">
        <v>2</v>
      </c>
      <c r="J109">
        <v>4</v>
      </c>
      <c r="K109">
        <v>1</v>
      </c>
      <c r="L109">
        <v>999</v>
      </c>
      <c r="M109">
        <v>6</v>
      </c>
    </row>
    <row r="110" spans="1:13">
      <c r="A110">
        <v>32</v>
      </c>
      <c r="B110">
        <v>2</v>
      </c>
      <c r="C110">
        <v>610</v>
      </c>
      <c r="D110">
        <v>64</v>
      </c>
      <c r="E110">
        <v>89</v>
      </c>
      <c r="F110">
        <v>86</v>
      </c>
      <c r="G110">
        <v>3.25</v>
      </c>
      <c r="H110">
        <v>0</v>
      </c>
      <c r="I110">
        <v>2</v>
      </c>
      <c r="J110">
        <v>11</v>
      </c>
      <c r="K110">
        <v>1</v>
      </c>
      <c r="L110">
        <v>0</v>
      </c>
      <c r="M110">
        <v>7</v>
      </c>
    </row>
    <row r="111" spans="1:13">
      <c r="A111">
        <v>35</v>
      </c>
      <c r="B111">
        <v>1</v>
      </c>
      <c r="C111">
        <v>540</v>
      </c>
      <c r="D111">
        <v>43</v>
      </c>
      <c r="E111">
        <v>78</v>
      </c>
      <c r="F111">
        <v>65</v>
      </c>
      <c r="G111">
        <v>3.2</v>
      </c>
      <c r="H111">
        <v>3.25</v>
      </c>
      <c r="I111">
        <v>2</v>
      </c>
      <c r="J111">
        <v>8</v>
      </c>
      <c r="K111">
        <v>1</v>
      </c>
      <c r="L111">
        <v>0</v>
      </c>
      <c r="M111">
        <v>5</v>
      </c>
    </row>
    <row r="112" spans="1:13">
      <c r="A112">
        <v>35</v>
      </c>
      <c r="B112">
        <v>1</v>
      </c>
      <c r="C112">
        <v>630</v>
      </c>
      <c r="D112">
        <v>66</v>
      </c>
      <c r="E112">
        <v>95</v>
      </c>
      <c r="F112">
        <v>90</v>
      </c>
      <c r="G112">
        <v>3.08</v>
      </c>
      <c r="H112">
        <v>3.25</v>
      </c>
      <c r="I112">
        <v>2</v>
      </c>
      <c r="J112">
        <v>12</v>
      </c>
      <c r="K112">
        <v>1</v>
      </c>
      <c r="L112">
        <v>0</v>
      </c>
      <c r="M112">
        <v>5</v>
      </c>
    </row>
    <row r="113" spans="1:13">
      <c r="A113">
        <v>36</v>
      </c>
      <c r="B113">
        <v>2</v>
      </c>
      <c r="C113">
        <v>530</v>
      </c>
      <c r="D113">
        <v>48</v>
      </c>
      <c r="E113">
        <v>71</v>
      </c>
      <c r="F113">
        <v>62</v>
      </c>
      <c r="G113">
        <v>3</v>
      </c>
      <c r="H113">
        <v>2.5</v>
      </c>
      <c r="I113">
        <v>2</v>
      </c>
      <c r="J113">
        <v>7</v>
      </c>
      <c r="K113">
        <v>1</v>
      </c>
      <c r="L113">
        <v>0</v>
      </c>
      <c r="M113">
        <v>5</v>
      </c>
    </row>
    <row r="114" spans="1:13">
      <c r="A114">
        <v>36</v>
      </c>
      <c r="B114">
        <v>1</v>
      </c>
      <c r="C114">
        <v>650</v>
      </c>
      <c r="D114">
        <v>87</v>
      </c>
      <c r="E114">
        <v>89</v>
      </c>
      <c r="F114">
        <v>93</v>
      </c>
      <c r="G114">
        <v>3</v>
      </c>
      <c r="H114">
        <v>3.2</v>
      </c>
      <c r="I114">
        <v>2</v>
      </c>
      <c r="J114">
        <v>18</v>
      </c>
      <c r="K114">
        <v>1</v>
      </c>
      <c r="L114">
        <v>0</v>
      </c>
      <c r="M114">
        <v>6</v>
      </c>
    </row>
    <row r="115" spans="1:13">
      <c r="A115">
        <v>43</v>
      </c>
      <c r="B115">
        <v>1</v>
      </c>
      <c r="C115">
        <v>630</v>
      </c>
      <c r="D115">
        <v>82</v>
      </c>
      <c r="E115">
        <v>87</v>
      </c>
      <c r="F115">
        <v>89</v>
      </c>
      <c r="G115">
        <v>3.1</v>
      </c>
      <c r="H115">
        <v>3</v>
      </c>
      <c r="I115">
        <v>2</v>
      </c>
      <c r="J115">
        <v>16</v>
      </c>
      <c r="K115">
        <v>1</v>
      </c>
      <c r="L115">
        <v>0</v>
      </c>
      <c r="M115">
        <v>5</v>
      </c>
    </row>
    <row r="116" spans="1:13">
      <c r="A116">
        <v>26</v>
      </c>
      <c r="B116">
        <v>2</v>
      </c>
      <c r="C116">
        <v>670</v>
      </c>
      <c r="D116">
        <v>87</v>
      </c>
      <c r="E116">
        <v>95</v>
      </c>
      <c r="F116">
        <v>95</v>
      </c>
      <c r="G116">
        <v>3.1</v>
      </c>
      <c r="H116">
        <v>3.33</v>
      </c>
      <c r="I116">
        <v>2</v>
      </c>
      <c r="J116">
        <v>1</v>
      </c>
      <c r="K116">
        <v>1</v>
      </c>
      <c r="L116">
        <v>82000</v>
      </c>
      <c r="M116">
        <v>7</v>
      </c>
    </row>
    <row r="117" spans="1:13">
      <c r="A117">
        <v>25</v>
      </c>
      <c r="B117">
        <v>2</v>
      </c>
      <c r="C117">
        <v>620</v>
      </c>
      <c r="D117">
        <v>89</v>
      </c>
      <c r="E117">
        <v>74</v>
      </c>
      <c r="F117">
        <v>87</v>
      </c>
      <c r="G117">
        <v>3.1</v>
      </c>
      <c r="H117">
        <v>3.5</v>
      </c>
      <c r="I117">
        <v>2</v>
      </c>
      <c r="J117">
        <v>2</v>
      </c>
      <c r="K117">
        <v>1</v>
      </c>
      <c r="L117">
        <v>92000</v>
      </c>
      <c r="M117">
        <v>5</v>
      </c>
    </row>
    <row r="118" spans="1:13">
      <c r="A118">
        <v>31</v>
      </c>
      <c r="B118">
        <v>1</v>
      </c>
      <c r="C118">
        <v>540</v>
      </c>
      <c r="D118">
        <v>60</v>
      </c>
      <c r="E118">
        <v>62</v>
      </c>
      <c r="F118">
        <v>65</v>
      </c>
      <c r="G118">
        <v>3.1</v>
      </c>
      <c r="H118">
        <v>3</v>
      </c>
      <c r="I118">
        <v>2</v>
      </c>
      <c r="J118">
        <v>8</v>
      </c>
      <c r="K118">
        <v>1</v>
      </c>
      <c r="L118">
        <v>93000</v>
      </c>
      <c r="M118">
        <v>6</v>
      </c>
    </row>
    <row r="119" spans="1:13">
      <c r="A119">
        <v>25</v>
      </c>
      <c r="B119">
        <v>1</v>
      </c>
      <c r="C119">
        <v>670</v>
      </c>
      <c r="D119">
        <v>95</v>
      </c>
      <c r="E119">
        <v>89</v>
      </c>
      <c r="F119">
        <v>95</v>
      </c>
      <c r="G119">
        <v>3.2</v>
      </c>
      <c r="H119">
        <v>3.5</v>
      </c>
      <c r="I119">
        <v>2</v>
      </c>
      <c r="J119">
        <v>2</v>
      </c>
      <c r="K119">
        <v>1</v>
      </c>
      <c r="L119">
        <v>95000</v>
      </c>
      <c r="M119">
        <v>6</v>
      </c>
    </row>
    <row r="120" spans="1:13">
      <c r="A120">
        <v>25</v>
      </c>
      <c r="B120">
        <v>1</v>
      </c>
      <c r="C120">
        <v>610</v>
      </c>
      <c r="D120">
        <v>87</v>
      </c>
      <c r="E120">
        <v>71</v>
      </c>
      <c r="F120">
        <v>86</v>
      </c>
      <c r="G120">
        <v>3.27</v>
      </c>
      <c r="H120">
        <v>3.25</v>
      </c>
      <c r="I120">
        <v>2</v>
      </c>
      <c r="J120">
        <v>3</v>
      </c>
      <c r="K120">
        <v>1</v>
      </c>
      <c r="L120">
        <v>95000</v>
      </c>
      <c r="M120">
        <v>6</v>
      </c>
    </row>
    <row r="121" spans="1:13">
      <c r="A121">
        <v>24</v>
      </c>
      <c r="B121">
        <v>1</v>
      </c>
      <c r="C121">
        <v>560</v>
      </c>
      <c r="D121">
        <v>52</v>
      </c>
      <c r="E121">
        <v>81</v>
      </c>
      <c r="F121">
        <v>72</v>
      </c>
      <c r="G121">
        <v>3.2</v>
      </c>
      <c r="H121">
        <v>3.25</v>
      </c>
      <c r="I121">
        <v>2</v>
      </c>
      <c r="J121">
        <v>2</v>
      </c>
      <c r="K121">
        <v>1</v>
      </c>
      <c r="L121">
        <v>96000</v>
      </c>
      <c r="M121">
        <v>7</v>
      </c>
    </row>
    <row r="122" spans="1:13">
      <c r="A122">
        <v>24</v>
      </c>
      <c r="B122">
        <v>1</v>
      </c>
      <c r="C122">
        <v>500</v>
      </c>
      <c r="D122">
        <v>78</v>
      </c>
      <c r="E122">
        <v>30</v>
      </c>
      <c r="F122">
        <v>52</v>
      </c>
      <c r="G122">
        <v>3</v>
      </c>
      <c r="H122">
        <v>2.75</v>
      </c>
      <c r="I122">
        <v>2</v>
      </c>
      <c r="J122">
        <v>2</v>
      </c>
      <c r="K122">
        <v>1</v>
      </c>
      <c r="L122">
        <v>96500</v>
      </c>
      <c r="M122">
        <v>6</v>
      </c>
    </row>
    <row r="123" spans="1:13">
      <c r="A123">
        <v>23</v>
      </c>
      <c r="B123">
        <v>1</v>
      </c>
      <c r="C123">
        <v>590</v>
      </c>
      <c r="D123">
        <v>72</v>
      </c>
      <c r="E123">
        <v>81</v>
      </c>
      <c r="F123">
        <v>81</v>
      </c>
      <c r="G123">
        <v>3.2</v>
      </c>
      <c r="H123">
        <v>3.25</v>
      </c>
      <c r="I123">
        <v>2</v>
      </c>
      <c r="J123">
        <v>2</v>
      </c>
      <c r="K123">
        <v>1</v>
      </c>
      <c r="L123">
        <v>98000</v>
      </c>
      <c r="M123">
        <v>6</v>
      </c>
    </row>
    <row r="124" spans="1:13">
      <c r="A124">
        <v>24</v>
      </c>
      <c r="B124">
        <v>1</v>
      </c>
      <c r="C124">
        <v>570</v>
      </c>
      <c r="D124">
        <v>82</v>
      </c>
      <c r="E124">
        <v>58</v>
      </c>
      <c r="F124">
        <v>75</v>
      </c>
      <c r="G124">
        <v>3.2</v>
      </c>
      <c r="H124">
        <v>3.25</v>
      </c>
      <c r="I124">
        <v>2</v>
      </c>
      <c r="J124">
        <v>2</v>
      </c>
      <c r="K124">
        <v>1</v>
      </c>
      <c r="L124">
        <v>98000</v>
      </c>
      <c r="M124">
        <v>6</v>
      </c>
    </row>
    <row r="125" spans="1:13">
      <c r="A125">
        <v>26</v>
      </c>
      <c r="B125">
        <v>2</v>
      </c>
      <c r="C125">
        <v>570</v>
      </c>
      <c r="D125">
        <v>93</v>
      </c>
      <c r="E125">
        <v>37</v>
      </c>
      <c r="F125">
        <v>75</v>
      </c>
      <c r="G125">
        <v>3</v>
      </c>
      <c r="H125">
        <v>2.75</v>
      </c>
      <c r="I125">
        <v>2</v>
      </c>
      <c r="J125">
        <v>3</v>
      </c>
      <c r="K125">
        <v>2</v>
      </c>
      <c r="L125">
        <v>98000</v>
      </c>
      <c r="M125">
        <v>5</v>
      </c>
    </row>
    <row r="126" spans="1:13">
      <c r="A126">
        <v>28</v>
      </c>
      <c r="B126">
        <v>2</v>
      </c>
      <c r="C126">
        <v>580</v>
      </c>
      <c r="D126">
        <v>83</v>
      </c>
      <c r="E126">
        <v>58</v>
      </c>
      <c r="F126">
        <v>79</v>
      </c>
      <c r="G126">
        <v>3.1</v>
      </c>
      <c r="H126">
        <v>3</v>
      </c>
      <c r="I126">
        <v>2</v>
      </c>
      <c r="J126">
        <v>5</v>
      </c>
      <c r="K126">
        <v>2</v>
      </c>
      <c r="L126">
        <v>99000</v>
      </c>
      <c r="M126">
        <v>6</v>
      </c>
    </row>
    <row r="127" spans="1:13">
      <c r="A127">
        <v>24</v>
      </c>
      <c r="B127">
        <v>2</v>
      </c>
      <c r="C127">
        <v>580</v>
      </c>
      <c r="D127">
        <v>72</v>
      </c>
      <c r="E127">
        <v>71</v>
      </c>
      <c r="F127">
        <v>78</v>
      </c>
      <c r="G127">
        <v>3</v>
      </c>
      <c r="H127">
        <v>3.25</v>
      </c>
      <c r="I127">
        <v>2</v>
      </c>
      <c r="J127">
        <v>2</v>
      </c>
      <c r="K127">
        <v>1</v>
      </c>
      <c r="L127">
        <v>100000</v>
      </c>
      <c r="M127">
        <v>5</v>
      </c>
    </row>
    <row r="128" spans="1:13">
      <c r="A128">
        <v>31</v>
      </c>
      <c r="B128">
        <v>1</v>
      </c>
      <c r="C128">
        <v>560</v>
      </c>
      <c r="D128">
        <v>68</v>
      </c>
      <c r="E128">
        <v>67</v>
      </c>
      <c r="F128">
        <v>72</v>
      </c>
      <c r="G128">
        <v>3.09</v>
      </c>
      <c r="H128">
        <v>3</v>
      </c>
      <c r="I128">
        <v>2</v>
      </c>
      <c r="J128">
        <v>4</v>
      </c>
      <c r="K128">
        <v>1</v>
      </c>
      <c r="L128">
        <v>100000</v>
      </c>
      <c r="M128">
        <v>6</v>
      </c>
    </row>
    <row r="129" spans="1:13">
      <c r="A129">
        <v>25</v>
      </c>
      <c r="B129">
        <v>2</v>
      </c>
      <c r="C129">
        <v>620</v>
      </c>
      <c r="D129">
        <v>89</v>
      </c>
      <c r="E129">
        <v>74</v>
      </c>
      <c r="F129">
        <v>87</v>
      </c>
      <c r="G129">
        <v>3.1</v>
      </c>
      <c r="H129">
        <v>3.5</v>
      </c>
      <c r="I129">
        <v>2</v>
      </c>
      <c r="J129">
        <v>2</v>
      </c>
      <c r="K129">
        <v>1</v>
      </c>
      <c r="L129">
        <v>101000</v>
      </c>
      <c r="M129">
        <v>5</v>
      </c>
    </row>
    <row r="130" spans="1:13">
      <c r="A130">
        <v>27</v>
      </c>
      <c r="B130">
        <v>1</v>
      </c>
      <c r="C130">
        <v>620</v>
      </c>
      <c r="D130">
        <v>97</v>
      </c>
      <c r="E130">
        <v>63</v>
      </c>
      <c r="F130">
        <v>88</v>
      </c>
      <c r="G130">
        <v>3.2</v>
      </c>
      <c r="H130">
        <v>3</v>
      </c>
      <c r="I130">
        <v>2</v>
      </c>
      <c r="J130">
        <v>3</v>
      </c>
      <c r="K130">
        <v>1</v>
      </c>
      <c r="L130">
        <v>103000</v>
      </c>
      <c r="M130">
        <v>6</v>
      </c>
    </row>
    <row r="131" spans="1:13">
      <c r="A131">
        <v>28</v>
      </c>
      <c r="B131">
        <v>1</v>
      </c>
      <c r="C131">
        <v>560</v>
      </c>
      <c r="D131">
        <v>75</v>
      </c>
      <c r="E131">
        <v>58</v>
      </c>
      <c r="F131">
        <v>72</v>
      </c>
      <c r="G131">
        <v>3.2</v>
      </c>
      <c r="H131">
        <v>3.25</v>
      </c>
      <c r="I131">
        <v>2</v>
      </c>
      <c r="J131">
        <v>4</v>
      </c>
      <c r="K131">
        <v>1</v>
      </c>
      <c r="L131">
        <v>104000</v>
      </c>
      <c r="M131">
        <v>5</v>
      </c>
    </row>
    <row r="132" spans="1:13">
      <c r="A132">
        <v>26</v>
      </c>
      <c r="B132">
        <v>1</v>
      </c>
      <c r="C132">
        <v>680</v>
      </c>
      <c r="D132">
        <v>84</v>
      </c>
      <c r="E132">
        <v>96</v>
      </c>
      <c r="F132">
        <v>96</v>
      </c>
      <c r="G132">
        <v>3.2</v>
      </c>
      <c r="H132">
        <v>3.25</v>
      </c>
      <c r="I132">
        <v>2</v>
      </c>
      <c r="J132">
        <v>3</v>
      </c>
      <c r="K132">
        <v>1</v>
      </c>
      <c r="L132">
        <v>105000</v>
      </c>
      <c r="M132">
        <v>6</v>
      </c>
    </row>
    <row r="133" spans="1:13">
      <c r="A133">
        <v>27</v>
      </c>
      <c r="B133">
        <v>1</v>
      </c>
      <c r="C133">
        <v>620</v>
      </c>
      <c r="D133">
        <v>81</v>
      </c>
      <c r="E133">
        <v>87</v>
      </c>
      <c r="F133">
        <v>89</v>
      </c>
      <c r="G133">
        <v>3</v>
      </c>
      <c r="H133">
        <v>3</v>
      </c>
      <c r="I133">
        <v>2</v>
      </c>
      <c r="J133">
        <v>3</v>
      </c>
      <c r="K133">
        <v>1</v>
      </c>
      <c r="L133">
        <v>105000</v>
      </c>
      <c r="M133">
        <v>5</v>
      </c>
    </row>
    <row r="134" spans="1:13">
      <c r="A134">
        <v>34</v>
      </c>
      <c r="B134">
        <v>1</v>
      </c>
      <c r="C134">
        <v>550</v>
      </c>
      <c r="D134">
        <v>72</v>
      </c>
      <c r="E134">
        <v>58</v>
      </c>
      <c r="F134">
        <v>69</v>
      </c>
      <c r="G134">
        <v>3</v>
      </c>
      <c r="H134">
        <v>3</v>
      </c>
      <c r="I134">
        <v>2</v>
      </c>
      <c r="J134">
        <v>16</v>
      </c>
      <c r="K134">
        <v>1</v>
      </c>
      <c r="L134">
        <v>105000</v>
      </c>
      <c r="M134">
        <v>5</v>
      </c>
    </row>
    <row r="135" spans="1:13">
      <c r="A135">
        <v>26</v>
      </c>
      <c r="B135">
        <v>1</v>
      </c>
      <c r="C135">
        <v>600</v>
      </c>
      <c r="D135">
        <v>84</v>
      </c>
      <c r="E135">
        <v>67</v>
      </c>
      <c r="F135">
        <v>83</v>
      </c>
      <c r="G135">
        <v>3.09</v>
      </c>
      <c r="H135">
        <v>3.5</v>
      </c>
      <c r="I135">
        <v>2</v>
      </c>
      <c r="J135">
        <v>2</v>
      </c>
      <c r="K135">
        <v>1</v>
      </c>
      <c r="L135">
        <v>107000</v>
      </c>
      <c r="M135">
        <v>5</v>
      </c>
    </row>
    <row r="136" spans="1:13">
      <c r="A136">
        <v>29</v>
      </c>
      <c r="B136">
        <v>1</v>
      </c>
      <c r="C136">
        <v>670</v>
      </c>
      <c r="D136">
        <v>91</v>
      </c>
      <c r="E136">
        <v>93</v>
      </c>
      <c r="F136">
        <v>95</v>
      </c>
      <c r="G136">
        <v>3.1</v>
      </c>
      <c r="H136">
        <v>3</v>
      </c>
      <c r="I136">
        <v>2</v>
      </c>
      <c r="J136">
        <v>6</v>
      </c>
      <c r="K136">
        <v>1</v>
      </c>
      <c r="L136">
        <v>112000</v>
      </c>
      <c r="M136">
        <v>6</v>
      </c>
    </row>
    <row r="137" spans="1:13">
      <c r="A137">
        <v>24</v>
      </c>
      <c r="B137">
        <v>1</v>
      </c>
      <c r="C137">
        <v>620</v>
      </c>
      <c r="D137">
        <v>84</v>
      </c>
      <c r="E137">
        <v>81</v>
      </c>
      <c r="F137">
        <v>87</v>
      </c>
      <c r="G137">
        <v>3</v>
      </c>
      <c r="H137">
        <v>3.25</v>
      </c>
      <c r="I137">
        <v>2</v>
      </c>
      <c r="J137">
        <v>1</v>
      </c>
      <c r="K137">
        <v>1</v>
      </c>
      <c r="L137">
        <v>115000</v>
      </c>
      <c r="M137">
        <v>6</v>
      </c>
    </row>
    <row r="138" spans="1:13">
      <c r="A138">
        <v>27</v>
      </c>
      <c r="B138">
        <v>1</v>
      </c>
      <c r="C138">
        <v>630</v>
      </c>
      <c r="D138">
        <v>72</v>
      </c>
      <c r="E138">
        <v>95</v>
      </c>
      <c r="F138">
        <v>89</v>
      </c>
      <c r="G138">
        <v>3.2</v>
      </c>
      <c r="H138">
        <v>3</v>
      </c>
      <c r="I138">
        <v>2</v>
      </c>
      <c r="J138">
        <v>4</v>
      </c>
      <c r="K138">
        <v>1</v>
      </c>
      <c r="L138">
        <v>115000</v>
      </c>
      <c r="M138">
        <v>6</v>
      </c>
    </row>
    <row r="139" spans="1:13">
      <c r="A139">
        <v>26</v>
      </c>
      <c r="B139">
        <v>1</v>
      </c>
      <c r="C139">
        <v>650</v>
      </c>
      <c r="D139">
        <v>89</v>
      </c>
      <c r="E139">
        <v>87</v>
      </c>
      <c r="F139">
        <v>93</v>
      </c>
      <c r="G139">
        <v>3.2</v>
      </c>
      <c r="H139">
        <v>3.25</v>
      </c>
      <c r="I139">
        <v>2</v>
      </c>
      <c r="J139">
        <v>4</v>
      </c>
      <c r="K139">
        <v>1</v>
      </c>
      <c r="L139">
        <v>130000</v>
      </c>
      <c r="M139">
        <v>7</v>
      </c>
    </row>
    <row r="140" spans="1:13">
      <c r="A140">
        <v>24</v>
      </c>
      <c r="B140">
        <v>1</v>
      </c>
      <c r="C140">
        <v>620</v>
      </c>
      <c r="D140">
        <v>88</v>
      </c>
      <c r="E140">
        <v>74</v>
      </c>
      <c r="F140">
        <v>87</v>
      </c>
      <c r="G140">
        <v>3.1</v>
      </c>
      <c r="H140">
        <v>3</v>
      </c>
      <c r="I140">
        <v>2</v>
      </c>
      <c r="J140">
        <v>2</v>
      </c>
      <c r="K140">
        <v>1</v>
      </c>
      <c r="L140">
        <v>145800</v>
      </c>
      <c r="M140">
        <v>6</v>
      </c>
    </row>
    <row r="141" spans="1:13">
      <c r="A141">
        <v>23</v>
      </c>
      <c r="B141">
        <v>1</v>
      </c>
      <c r="C141">
        <v>720</v>
      </c>
      <c r="D141">
        <v>95</v>
      </c>
      <c r="E141">
        <v>98</v>
      </c>
      <c r="F141">
        <v>99</v>
      </c>
      <c r="G141">
        <v>2.8</v>
      </c>
      <c r="H141">
        <v>2.5</v>
      </c>
      <c r="I141">
        <v>3</v>
      </c>
      <c r="J141">
        <v>1</v>
      </c>
      <c r="K141">
        <v>1</v>
      </c>
      <c r="L141">
        <v>0</v>
      </c>
      <c r="M141">
        <v>5</v>
      </c>
    </row>
    <row r="142" spans="1:13">
      <c r="A142">
        <v>24</v>
      </c>
      <c r="B142">
        <v>2</v>
      </c>
      <c r="C142">
        <v>640</v>
      </c>
      <c r="D142">
        <v>94</v>
      </c>
      <c r="E142">
        <v>78</v>
      </c>
      <c r="F142">
        <v>92</v>
      </c>
      <c r="G142">
        <v>2.9</v>
      </c>
      <c r="H142">
        <v>3.25</v>
      </c>
      <c r="I142">
        <v>3</v>
      </c>
      <c r="J142">
        <v>2</v>
      </c>
      <c r="K142">
        <v>2</v>
      </c>
      <c r="L142">
        <v>0</v>
      </c>
      <c r="M142">
        <v>4</v>
      </c>
    </row>
    <row r="143" spans="1:13">
      <c r="A143">
        <v>24</v>
      </c>
      <c r="B143">
        <v>1</v>
      </c>
      <c r="C143">
        <v>710</v>
      </c>
      <c r="D143">
        <v>96</v>
      </c>
      <c r="E143">
        <v>97</v>
      </c>
      <c r="F143">
        <v>99</v>
      </c>
      <c r="G143">
        <v>2.8</v>
      </c>
      <c r="H143">
        <v>2.75</v>
      </c>
      <c r="I143">
        <v>3</v>
      </c>
      <c r="J143">
        <v>2</v>
      </c>
      <c r="K143">
        <v>1</v>
      </c>
      <c r="L143">
        <v>0</v>
      </c>
      <c r="M143">
        <v>7</v>
      </c>
    </row>
    <row r="144" spans="1:13">
      <c r="A144">
        <v>24</v>
      </c>
      <c r="B144">
        <v>1</v>
      </c>
      <c r="C144">
        <v>670</v>
      </c>
      <c r="D144">
        <v>94</v>
      </c>
      <c r="E144">
        <v>89</v>
      </c>
      <c r="F144">
        <v>96</v>
      </c>
      <c r="G144">
        <v>2.7</v>
      </c>
      <c r="H144">
        <v>3</v>
      </c>
      <c r="I144">
        <v>3</v>
      </c>
      <c r="J144">
        <v>2</v>
      </c>
      <c r="K144">
        <v>1</v>
      </c>
      <c r="L144">
        <v>0</v>
      </c>
      <c r="M144">
        <v>7</v>
      </c>
    </row>
    <row r="145" spans="1:13">
      <c r="A145">
        <v>24</v>
      </c>
      <c r="B145">
        <v>2</v>
      </c>
      <c r="C145">
        <v>710</v>
      </c>
      <c r="D145">
        <v>97</v>
      </c>
      <c r="E145">
        <v>97</v>
      </c>
      <c r="F145">
        <v>99</v>
      </c>
      <c r="G145">
        <v>2.8</v>
      </c>
      <c r="H145">
        <v>3</v>
      </c>
      <c r="I145">
        <v>3</v>
      </c>
      <c r="J145">
        <v>2</v>
      </c>
      <c r="K145">
        <v>1</v>
      </c>
      <c r="L145">
        <v>0</v>
      </c>
      <c r="M145">
        <v>7</v>
      </c>
    </row>
    <row r="146" spans="1:13">
      <c r="A146">
        <v>24</v>
      </c>
      <c r="B146">
        <v>1</v>
      </c>
      <c r="C146">
        <v>650</v>
      </c>
      <c r="D146">
        <v>89</v>
      </c>
      <c r="E146">
        <v>84</v>
      </c>
      <c r="F146">
        <v>93</v>
      </c>
      <c r="G146">
        <v>2.7</v>
      </c>
      <c r="H146">
        <v>3.25</v>
      </c>
      <c r="I146">
        <v>3</v>
      </c>
      <c r="J146">
        <v>1</v>
      </c>
      <c r="K146">
        <v>1</v>
      </c>
      <c r="L146">
        <v>999</v>
      </c>
      <c r="M146">
        <v>5</v>
      </c>
    </row>
    <row r="147" spans="1:13">
      <c r="A147">
        <v>24</v>
      </c>
      <c r="B147">
        <v>1</v>
      </c>
      <c r="C147">
        <v>600</v>
      </c>
      <c r="D147">
        <v>89</v>
      </c>
      <c r="E147">
        <v>62</v>
      </c>
      <c r="F147">
        <v>83</v>
      </c>
      <c r="G147">
        <v>2.9</v>
      </c>
      <c r="H147">
        <v>3</v>
      </c>
      <c r="I147">
        <v>3</v>
      </c>
      <c r="J147">
        <v>1</v>
      </c>
      <c r="K147">
        <v>1</v>
      </c>
      <c r="L147">
        <v>0</v>
      </c>
      <c r="M147">
        <v>6</v>
      </c>
    </row>
    <row r="148" spans="1:13">
      <c r="A148">
        <v>24</v>
      </c>
      <c r="B148">
        <v>2</v>
      </c>
      <c r="C148">
        <v>640</v>
      </c>
      <c r="D148">
        <v>96</v>
      </c>
      <c r="E148">
        <v>71</v>
      </c>
      <c r="F148">
        <v>91</v>
      </c>
      <c r="G148">
        <v>2.7</v>
      </c>
      <c r="H148">
        <v>2.5</v>
      </c>
      <c r="I148">
        <v>3</v>
      </c>
      <c r="J148">
        <v>2</v>
      </c>
      <c r="K148">
        <v>1</v>
      </c>
      <c r="L148">
        <v>0</v>
      </c>
      <c r="M148">
        <v>6</v>
      </c>
    </row>
    <row r="149" spans="1:13">
      <c r="A149">
        <v>25</v>
      </c>
      <c r="B149">
        <v>1</v>
      </c>
      <c r="C149">
        <v>600</v>
      </c>
      <c r="D149">
        <v>89</v>
      </c>
      <c r="E149">
        <v>62</v>
      </c>
      <c r="F149">
        <v>83</v>
      </c>
      <c r="G149">
        <v>2.7</v>
      </c>
      <c r="H149">
        <v>3.25</v>
      </c>
      <c r="I149">
        <v>3</v>
      </c>
      <c r="J149">
        <v>4</v>
      </c>
      <c r="K149">
        <v>1</v>
      </c>
      <c r="L149">
        <v>998</v>
      </c>
      <c r="M149">
        <v>998</v>
      </c>
    </row>
    <row r="150" spans="1:13">
      <c r="A150">
        <v>25</v>
      </c>
      <c r="B150">
        <v>1</v>
      </c>
      <c r="C150">
        <v>630</v>
      </c>
      <c r="D150">
        <v>79</v>
      </c>
      <c r="E150">
        <v>91</v>
      </c>
      <c r="F150">
        <v>89</v>
      </c>
      <c r="G150">
        <v>2.7</v>
      </c>
      <c r="H150">
        <v>2.75</v>
      </c>
      <c r="I150">
        <v>3</v>
      </c>
      <c r="J150">
        <v>2</v>
      </c>
      <c r="K150">
        <v>1</v>
      </c>
      <c r="L150">
        <v>998</v>
      </c>
      <c r="M150">
        <v>998</v>
      </c>
    </row>
    <row r="151" spans="1:13">
      <c r="A151">
        <v>25</v>
      </c>
      <c r="B151">
        <v>1</v>
      </c>
      <c r="C151">
        <v>550</v>
      </c>
      <c r="D151">
        <v>72</v>
      </c>
      <c r="E151">
        <v>58</v>
      </c>
      <c r="F151">
        <v>69</v>
      </c>
      <c r="G151">
        <v>2.9</v>
      </c>
      <c r="H151">
        <v>3</v>
      </c>
      <c r="I151">
        <v>3</v>
      </c>
      <c r="J151">
        <v>3</v>
      </c>
      <c r="K151">
        <v>1</v>
      </c>
      <c r="L151">
        <v>0</v>
      </c>
      <c r="M151">
        <v>6</v>
      </c>
    </row>
    <row r="152" spans="1:13">
      <c r="A152">
        <v>25</v>
      </c>
      <c r="B152">
        <v>1</v>
      </c>
      <c r="C152">
        <v>710</v>
      </c>
      <c r="D152">
        <v>99</v>
      </c>
      <c r="E152">
        <v>91</v>
      </c>
      <c r="F152">
        <v>98</v>
      </c>
      <c r="G152">
        <v>2.9</v>
      </c>
      <c r="H152">
        <v>3.25</v>
      </c>
      <c r="I152">
        <v>3</v>
      </c>
      <c r="J152">
        <v>1</v>
      </c>
      <c r="K152">
        <v>1</v>
      </c>
      <c r="L152">
        <v>0</v>
      </c>
      <c r="M152">
        <v>6</v>
      </c>
    </row>
    <row r="153" spans="1:13">
      <c r="A153">
        <v>25</v>
      </c>
      <c r="B153">
        <v>1</v>
      </c>
      <c r="C153">
        <v>660</v>
      </c>
      <c r="D153">
        <v>95</v>
      </c>
      <c r="E153">
        <v>84</v>
      </c>
      <c r="F153">
        <v>94</v>
      </c>
      <c r="G153">
        <v>2.7</v>
      </c>
      <c r="H153">
        <v>3</v>
      </c>
      <c r="I153">
        <v>3</v>
      </c>
      <c r="J153">
        <v>3</v>
      </c>
      <c r="K153">
        <v>1</v>
      </c>
      <c r="L153">
        <v>999</v>
      </c>
      <c r="M153">
        <v>6</v>
      </c>
    </row>
    <row r="154" spans="1:13">
      <c r="A154">
        <v>25</v>
      </c>
      <c r="B154">
        <v>1</v>
      </c>
      <c r="C154">
        <v>630</v>
      </c>
      <c r="D154">
        <v>93</v>
      </c>
      <c r="E154">
        <v>71</v>
      </c>
      <c r="F154">
        <v>89</v>
      </c>
      <c r="G154">
        <v>2.9</v>
      </c>
      <c r="H154">
        <v>3.25</v>
      </c>
      <c r="I154">
        <v>3</v>
      </c>
      <c r="J154">
        <v>3</v>
      </c>
      <c r="K154">
        <v>2</v>
      </c>
      <c r="L154">
        <v>998</v>
      </c>
      <c r="M154">
        <v>998</v>
      </c>
    </row>
    <row r="155" spans="1:13">
      <c r="A155">
        <v>25</v>
      </c>
      <c r="B155">
        <v>1</v>
      </c>
      <c r="C155">
        <v>560</v>
      </c>
      <c r="D155">
        <v>79</v>
      </c>
      <c r="E155">
        <v>58</v>
      </c>
      <c r="F155">
        <v>72</v>
      </c>
      <c r="G155">
        <v>2.73</v>
      </c>
      <c r="H155">
        <v>3.17</v>
      </c>
      <c r="I155">
        <v>3</v>
      </c>
      <c r="J155">
        <v>2</v>
      </c>
      <c r="K155">
        <v>2</v>
      </c>
      <c r="L155">
        <v>998</v>
      </c>
      <c r="M155">
        <v>998</v>
      </c>
    </row>
    <row r="156" spans="1:13">
      <c r="A156">
        <v>26</v>
      </c>
      <c r="B156">
        <v>1</v>
      </c>
      <c r="C156">
        <v>670</v>
      </c>
      <c r="D156">
        <v>97</v>
      </c>
      <c r="E156">
        <v>81</v>
      </c>
      <c r="F156">
        <v>96</v>
      </c>
      <c r="G156">
        <v>2.7</v>
      </c>
      <c r="H156">
        <v>2.5</v>
      </c>
      <c r="I156">
        <v>3</v>
      </c>
      <c r="J156">
        <v>4</v>
      </c>
      <c r="K156">
        <v>1</v>
      </c>
      <c r="L156">
        <v>998</v>
      </c>
      <c r="M156">
        <v>998</v>
      </c>
    </row>
    <row r="157" spans="1:13">
      <c r="A157">
        <v>26</v>
      </c>
      <c r="B157">
        <v>1</v>
      </c>
      <c r="C157">
        <v>660</v>
      </c>
      <c r="D157">
        <v>88</v>
      </c>
      <c r="E157">
        <v>93</v>
      </c>
      <c r="F157">
        <v>94</v>
      </c>
      <c r="G157">
        <v>2.9</v>
      </c>
      <c r="H157">
        <v>2.75</v>
      </c>
      <c r="I157">
        <v>3</v>
      </c>
      <c r="J157">
        <v>3</v>
      </c>
      <c r="K157">
        <v>2</v>
      </c>
      <c r="L157">
        <v>998</v>
      </c>
      <c r="M157">
        <v>998</v>
      </c>
    </row>
    <row r="158" spans="1:13">
      <c r="A158">
        <v>26</v>
      </c>
      <c r="B158">
        <v>1</v>
      </c>
      <c r="C158">
        <v>630</v>
      </c>
      <c r="D158">
        <v>83</v>
      </c>
      <c r="E158">
        <v>87</v>
      </c>
      <c r="F158">
        <v>90</v>
      </c>
      <c r="G158">
        <v>2.7</v>
      </c>
      <c r="H158">
        <v>3</v>
      </c>
      <c r="I158">
        <v>3</v>
      </c>
      <c r="J158">
        <v>3</v>
      </c>
      <c r="K158">
        <v>1</v>
      </c>
      <c r="L158">
        <v>998</v>
      </c>
      <c r="M158">
        <v>998</v>
      </c>
    </row>
    <row r="159" spans="1:13">
      <c r="A159">
        <v>26</v>
      </c>
      <c r="B159">
        <v>1</v>
      </c>
      <c r="C159">
        <v>640</v>
      </c>
      <c r="D159">
        <v>87</v>
      </c>
      <c r="E159">
        <v>84</v>
      </c>
      <c r="F159">
        <v>91</v>
      </c>
      <c r="G159">
        <v>2.7</v>
      </c>
      <c r="H159">
        <v>3.2</v>
      </c>
      <c r="I159">
        <v>3</v>
      </c>
      <c r="J159">
        <v>4</v>
      </c>
      <c r="K159">
        <v>1</v>
      </c>
      <c r="L159">
        <v>999</v>
      </c>
      <c r="M159">
        <v>5</v>
      </c>
    </row>
    <row r="160" spans="1:13">
      <c r="A160">
        <v>26</v>
      </c>
      <c r="B160">
        <v>1</v>
      </c>
      <c r="C160">
        <v>560</v>
      </c>
      <c r="D160">
        <v>56</v>
      </c>
      <c r="E160">
        <v>81</v>
      </c>
      <c r="F160">
        <v>72</v>
      </c>
      <c r="G160">
        <v>2.8</v>
      </c>
      <c r="H160">
        <v>3.25</v>
      </c>
      <c r="I160">
        <v>3</v>
      </c>
      <c r="J160">
        <v>4</v>
      </c>
      <c r="K160">
        <v>1</v>
      </c>
      <c r="L160">
        <v>0</v>
      </c>
      <c r="M160">
        <v>6</v>
      </c>
    </row>
    <row r="161" spans="1:13">
      <c r="A161">
        <v>26</v>
      </c>
      <c r="B161">
        <v>1</v>
      </c>
      <c r="C161">
        <v>540</v>
      </c>
      <c r="D161">
        <v>52</v>
      </c>
      <c r="E161">
        <v>71</v>
      </c>
      <c r="F161">
        <v>65</v>
      </c>
      <c r="G161">
        <v>2.7</v>
      </c>
      <c r="H161">
        <v>2.75</v>
      </c>
      <c r="I161">
        <v>3</v>
      </c>
      <c r="J161">
        <v>2</v>
      </c>
      <c r="K161">
        <v>1</v>
      </c>
      <c r="L161">
        <v>0</v>
      </c>
      <c r="M161">
        <v>6</v>
      </c>
    </row>
    <row r="162" spans="1:13">
      <c r="A162">
        <v>26</v>
      </c>
      <c r="B162">
        <v>1</v>
      </c>
      <c r="C162">
        <v>600</v>
      </c>
      <c r="D162">
        <v>97</v>
      </c>
      <c r="E162">
        <v>45</v>
      </c>
      <c r="F162">
        <v>83</v>
      </c>
      <c r="G162">
        <v>2.7</v>
      </c>
      <c r="H162">
        <v>3</v>
      </c>
      <c r="I162">
        <v>3</v>
      </c>
      <c r="J162">
        <v>4</v>
      </c>
      <c r="K162">
        <v>2</v>
      </c>
      <c r="L162">
        <v>999</v>
      </c>
      <c r="M162">
        <v>6</v>
      </c>
    </row>
    <row r="163" spans="1:13">
      <c r="A163">
        <v>26</v>
      </c>
      <c r="B163">
        <v>2</v>
      </c>
      <c r="C163">
        <v>570</v>
      </c>
      <c r="D163">
        <v>48</v>
      </c>
      <c r="E163">
        <v>89</v>
      </c>
      <c r="F163">
        <v>75</v>
      </c>
      <c r="G163">
        <v>2.82</v>
      </c>
      <c r="H163">
        <v>2.5</v>
      </c>
      <c r="I163">
        <v>3</v>
      </c>
      <c r="J163">
        <v>3</v>
      </c>
      <c r="K163">
        <v>1</v>
      </c>
      <c r="L163">
        <v>0</v>
      </c>
      <c r="M163">
        <v>5</v>
      </c>
    </row>
    <row r="164" spans="1:13">
      <c r="A164">
        <v>26</v>
      </c>
      <c r="B164">
        <v>1</v>
      </c>
      <c r="C164">
        <v>610</v>
      </c>
      <c r="D164">
        <v>82</v>
      </c>
      <c r="E164">
        <v>81</v>
      </c>
      <c r="F164">
        <v>86</v>
      </c>
      <c r="G164">
        <v>2.9</v>
      </c>
      <c r="H164">
        <v>2.75</v>
      </c>
      <c r="I164">
        <v>3</v>
      </c>
      <c r="J164">
        <v>3</v>
      </c>
      <c r="K164">
        <v>1</v>
      </c>
      <c r="L164">
        <v>0</v>
      </c>
      <c r="M164">
        <v>6</v>
      </c>
    </row>
    <row r="165" spans="1:13">
      <c r="A165">
        <v>27</v>
      </c>
      <c r="B165">
        <v>1</v>
      </c>
      <c r="C165">
        <v>650</v>
      </c>
      <c r="D165">
        <v>89</v>
      </c>
      <c r="E165">
        <v>84</v>
      </c>
      <c r="F165">
        <v>93</v>
      </c>
      <c r="G165">
        <v>2.9</v>
      </c>
      <c r="H165">
        <v>3</v>
      </c>
      <c r="I165">
        <v>3</v>
      </c>
      <c r="J165">
        <v>2</v>
      </c>
      <c r="K165">
        <v>1</v>
      </c>
      <c r="L165">
        <v>0</v>
      </c>
      <c r="M165">
        <v>6</v>
      </c>
    </row>
    <row r="166" spans="1:13">
      <c r="A166">
        <v>27</v>
      </c>
      <c r="B166">
        <v>2</v>
      </c>
      <c r="C166">
        <v>550</v>
      </c>
      <c r="D166">
        <v>66</v>
      </c>
      <c r="E166">
        <v>63</v>
      </c>
      <c r="F166">
        <v>69</v>
      </c>
      <c r="G166">
        <v>2.9</v>
      </c>
      <c r="H166">
        <v>3</v>
      </c>
      <c r="I166">
        <v>3</v>
      </c>
      <c r="J166">
        <v>3</v>
      </c>
      <c r="K166">
        <v>1</v>
      </c>
      <c r="L166">
        <v>0</v>
      </c>
      <c r="M166">
        <v>4</v>
      </c>
    </row>
    <row r="167" spans="1:13">
      <c r="A167">
        <v>27</v>
      </c>
      <c r="B167">
        <v>1</v>
      </c>
      <c r="C167">
        <v>730</v>
      </c>
      <c r="D167">
        <v>95</v>
      </c>
      <c r="E167">
        <v>99</v>
      </c>
      <c r="F167">
        <v>99</v>
      </c>
      <c r="G167">
        <v>2.9</v>
      </c>
      <c r="H167">
        <v>3.33</v>
      </c>
      <c r="I167">
        <v>3</v>
      </c>
      <c r="J167">
        <v>0</v>
      </c>
      <c r="K167">
        <v>1</v>
      </c>
      <c r="L167">
        <v>999</v>
      </c>
      <c r="M167">
        <v>5</v>
      </c>
    </row>
    <row r="168" spans="1:13">
      <c r="A168">
        <v>27</v>
      </c>
      <c r="B168">
        <v>1</v>
      </c>
      <c r="C168">
        <v>610</v>
      </c>
      <c r="D168">
        <v>97</v>
      </c>
      <c r="E168">
        <v>45</v>
      </c>
      <c r="F168">
        <v>86</v>
      </c>
      <c r="G168">
        <v>2.7</v>
      </c>
      <c r="H168">
        <v>2.5</v>
      </c>
      <c r="I168">
        <v>3</v>
      </c>
      <c r="J168">
        <v>4</v>
      </c>
      <c r="K168">
        <v>2</v>
      </c>
      <c r="L168">
        <v>0</v>
      </c>
      <c r="M168">
        <v>5</v>
      </c>
    </row>
    <row r="169" spans="1:13">
      <c r="A169">
        <v>27</v>
      </c>
      <c r="B169">
        <v>2</v>
      </c>
      <c r="C169">
        <v>630</v>
      </c>
      <c r="D169">
        <v>82</v>
      </c>
      <c r="E169">
        <v>89</v>
      </c>
      <c r="F169">
        <v>89</v>
      </c>
      <c r="G169">
        <v>2.7</v>
      </c>
      <c r="H169">
        <v>3.25</v>
      </c>
      <c r="I169">
        <v>3</v>
      </c>
      <c r="J169">
        <v>5</v>
      </c>
      <c r="K169">
        <v>1</v>
      </c>
      <c r="L169">
        <v>0</v>
      </c>
      <c r="M169">
        <v>6</v>
      </c>
    </row>
    <row r="170" spans="1:13">
      <c r="A170">
        <v>27</v>
      </c>
      <c r="B170">
        <v>2</v>
      </c>
      <c r="C170">
        <v>560</v>
      </c>
      <c r="D170">
        <v>61</v>
      </c>
      <c r="E170">
        <v>74</v>
      </c>
      <c r="F170">
        <v>73</v>
      </c>
      <c r="G170">
        <v>2.8</v>
      </c>
      <c r="H170">
        <v>3.25</v>
      </c>
      <c r="I170">
        <v>3</v>
      </c>
      <c r="J170">
        <v>5</v>
      </c>
      <c r="K170">
        <v>1</v>
      </c>
      <c r="L170">
        <v>0</v>
      </c>
      <c r="M170">
        <v>6</v>
      </c>
    </row>
    <row r="171" spans="1:13">
      <c r="A171">
        <v>27</v>
      </c>
      <c r="B171">
        <v>2</v>
      </c>
      <c r="C171">
        <v>620</v>
      </c>
      <c r="D171">
        <v>97</v>
      </c>
      <c r="E171">
        <v>54</v>
      </c>
      <c r="F171">
        <v>87</v>
      </c>
      <c r="G171">
        <v>2.7</v>
      </c>
      <c r="H171">
        <v>2.75</v>
      </c>
      <c r="I171">
        <v>3</v>
      </c>
      <c r="J171">
        <v>2</v>
      </c>
      <c r="K171">
        <v>2</v>
      </c>
      <c r="L171">
        <v>999</v>
      </c>
      <c r="M171">
        <v>2</v>
      </c>
    </row>
    <row r="172" spans="1:13">
      <c r="A172">
        <v>27</v>
      </c>
      <c r="B172">
        <v>1</v>
      </c>
      <c r="C172">
        <v>600</v>
      </c>
      <c r="D172">
        <v>68</v>
      </c>
      <c r="E172">
        <v>87</v>
      </c>
      <c r="F172">
        <v>83</v>
      </c>
      <c r="G172">
        <v>2.9</v>
      </c>
      <c r="H172">
        <v>3.25</v>
      </c>
      <c r="I172">
        <v>3</v>
      </c>
      <c r="J172">
        <v>3</v>
      </c>
      <c r="K172">
        <v>1</v>
      </c>
      <c r="L172">
        <v>998</v>
      </c>
      <c r="M172">
        <v>998</v>
      </c>
    </row>
    <row r="173" spans="1:13">
      <c r="A173">
        <v>27</v>
      </c>
      <c r="B173">
        <v>1</v>
      </c>
      <c r="C173">
        <v>650</v>
      </c>
      <c r="D173">
        <v>79</v>
      </c>
      <c r="E173">
        <v>95</v>
      </c>
      <c r="F173">
        <v>93</v>
      </c>
      <c r="G173">
        <v>2.7</v>
      </c>
      <c r="H173">
        <v>3.25</v>
      </c>
      <c r="I173">
        <v>3</v>
      </c>
      <c r="J173">
        <v>3</v>
      </c>
      <c r="K173">
        <v>1</v>
      </c>
      <c r="L173">
        <v>998</v>
      </c>
      <c r="M173">
        <v>998</v>
      </c>
    </row>
    <row r="174" spans="1:13">
      <c r="A174">
        <v>27</v>
      </c>
      <c r="B174">
        <v>1</v>
      </c>
      <c r="C174">
        <v>560</v>
      </c>
      <c r="D174">
        <v>52</v>
      </c>
      <c r="E174">
        <v>81</v>
      </c>
      <c r="F174">
        <v>72</v>
      </c>
      <c r="G174">
        <v>2.7</v>
      </c>
      <c r="H174">
        <v>2.75</v>
      </c>
      <c r="I174">
        <v>3</v>
      </c>
      <c r="J174">
        <v>2</v>
      </c>
      <c r="K174">
        <v>1</v>
      </c>
      <c r="L174">
        <v>998</v>
      </c>
      <c r="M174">
        <v>998</v>
      </c>
    </row>
    <row r="175" spans="1:13">
      <c r="A175">
        <v>27</v>
      </c>
      <c r="B175">
        <v>1</v>
      </c>
      <c r="C175">
        <v>610</v>
      </c>
      <c r="D175">
        <v>48</v>
      </c>
      <c r="E175">
        <v>98</v>
      </c>
      <c r="F175">
        <v>86</v>
      </c>
      <c r="G175">
        <v>2.7</v>
      </c>
      <c r="H175">
        <v>3</v>
      </c>
      <c r="I175">
        <v>3</v>
      </c>
      <c r="J175">
        <v>4</v>
      </c>
      <c r="K175">
        <v>1</v>
      </c>
      <c r="L175">
        <v>998</v>
      </c>
      <c r="M175">
        <v>998</v>
      </c>
    </row>
    <row r="176" spans="1:13">
      <c r="A176">
        <v>27</v>
      </c>
      <c r="B176">
        <v>1</v>
      </c>
      <c r="C176">
        <v>600</v>
      </c>
      <c r="D176">
        <v>77</v>
      </c>
      <c r="E176">
        <v>81</v>
      </c>
      <c r="F176">
        <v>84</v>
      </c>
      <c r="G176">
        <v>2.7</v>
      </c>
      <c r="H176">
        <v>3</v>
      </c>
      <c r="I176">
        <v>3</v>
      </c>
      <c r="J176">
        <v>3</v>
      </c>
      <c r="K176">
        <v>1</v>
      </c>
      <c r="L176">
        <v>998</v>
      </c>
      <c r="M176">
        <v>998</v>
      </c>
    </row>
    <row r="177" spans="1:13">
      <c r="A177">
        <v>28</v>
      </c>
      <c r="B177">
        <v>1</v>
      </c>
      <c r="C177">
        <v>460</v>
      </c>
      <c r="D177">
        <v>66</v>
      </c>
      <c r="E177">
        <v>16</v>
      </c>
      <c r="F177">
        <v>37</v>
      </c>
      <c r="G177">
        <v>2.7</v>
      </c>
      <c r="H177">
        <v>2.5</v>
      </c>
      <c r="I177">
        <v>3</v>
      </c>
      <c r="J177">
        <v>4</v>
      </c>
      <c r="K177">
        <v>1</v>
      </c>
      <c r="L177">
        <v>998</v>
      </c>
      <c r="M177">
        <v>998</v>
      </c>
    </row>
    <row r="178" spans="1:13">
      <c r="A178">
        <v>28</v>
      </c>
      <c r="B178">
        <v>1</v>
      </c>
      <c r="C178">
        <v>650</v>
      </c>
      <c r="D178">
        <v>99</v>
      </c>
      <c r="E178">
        <v>63</v>
      </c>
      <c r="F178">
        <v>93</v>
      </c>
      <c r="G178">
        <v>2.9</v>
      </c>
      <c r="H178">
        <v>3</v>
      </c>
      <c r="I178">
        <v>3</v>
      </c>
      <c r="J178">
        <v>4</v>
      </c>
      <c r="K178">
        <v>2</v>
      </c>
      <c r="L178">
        <v>998</v>
      </c>
      <c r="M178">
        <v>998</v>
      </c>
    </row>
    <row r="179" spans="1:13">
      <c r="A179">
        <v>28</v>
      </c>
      <c r="B179">
        <v>2</v>
      </c>
      <c r="C179">
        <v>610</v>
      </c>
      <c r="D179">
        <v>64</v>
      </c>
      <c r="E179">
        <v>93</v>
      </c>
      <c r="F179">
        <v>86</v>
      </c>
      <c r="G179">
        <v>2.8</v>
      </c>
      <c r="H179">
        <v>3.25</v>
      </c>
      <c r="I179">
        <v>3</v>
      </c>
      <c r="J179">
        <v>4</v>
      </c>
      <c r="K179">
        <v>1</v>
      </c>
      <c r="L179">
        <v>998</v>
      </c>
      <c r="M179">
        <v>998</v>
      </c>
    </row>
    <row r="180" spans="1:13">
      <c r="A180">
        <v>28</v>
      </c>
      <c r="B180">
        <v>1</v>
      </c>
      <c r="C180">
        <v>500</v>
      </c>
      <c r="D180">
        <v>46</v>
      </c>
      <c r="E180">
        <v>54</v>
      </c>
      <c r="F180">
        <v>52</v>
      </c>
      <c r="G180">
        <v>2.9</v>
      </c>
      <c r="H180">
        <v>2.75</v>
      </c>
      <c r="I180">
        <v>3</v>
      </c>
      <c r="J180">
        <v>9</v>
      </c>
      <c r="K180">
        <v>1</v>
      </c>
      <c r="L180">
        <v>999</v>
      </c>
      <c r="M180">
        <v>6</v>
      </c>
    </row>
    <row r="181" spans="1:13">
      <c r="A181">
        <v>29</v>
      </c>
      <c r="B181">
        <v>1</v>
      </c>
      <c r="C181">
        <v>590</v>
      </c>
      <c r="D181">
        <v>92</v>
      </c>
      <c r="E181">
        <v>58</v>
      </c>
      <c r="F181">
        <v>81</v>
      </c>
      <c r="G181">
        <v>2.8</v>
      </c>
      <c r="H181">
        <v>2.75</v>
      </c>
      <c r="I181">
        <v>3</v>
      </c>
      <c r="J181">
        <v>3</v>
      </c>
      <c r="K181">
        <v>2</v>
      </c>
      <c r="L181">
        <v>0</v>
      </c>
      <c r="M181">
        <v>5</v>
      </c>
    </row>
    <row r="182" spans="1:13">
      <c r="A182">
        <v>29</v>
      </c>
      <c r="B182">
        <v>1</v>
      </c>
      <c r="C182">
        <v>560</v>
      </c>
      <c r="D182">
        <v>57</v>
      </c>
      <c r="E182">
        <v>74</v>
      </c>
      <c r="F182">
        <v>73</v>
      </c>
      <c r="G182">
        <v>2.8</v>
      </c>
      <c r="H182">
        <v>3</v>
      </c>
      <c r="I182">
        <v>3</v>
      </c>
      <c r="J182">
        <v>4</v>
      </c>
      <c r="K182">
        <v>1</v>
      </c>
      <c r="L182">
        <v>999</v>
      </c>
      <c r="M182">
        <v>5</v>
      </c>
    </row>
    <row r="183" spans="1:13">
      <c r="A183">
        <v>32</v>
      </c>
      <c r="B183">
        <v>1</v>
      </c>
      <c r="C183">
        <v>550</v>
      </c>
      <c r="D183">
        <v>52</v>
      </c>
      <c r="E183">
        <v>78</v>
      </c>
      <c r="F183">
        <v>71</v>
      </c>
      <c r="G183">
        <v>2.7</v>
      </c>
      <c r="H183">
        <v>2.75</v>
      </c>
      <c r="I183">
        <v>3</v>
      </c>
      <c r="J183">
        <v>7</v>
      </c>
      <c r="K183">
        <v>1</v>
      </c>
      <c r="L183">
        <v>0</v>
      </c>
      <c r="M183">
        <v>6</v>
      </c>
    </row>
    <row r="184" spans="1:13">
      <c r="A184">
        <v>34</v>
      </c>
      <c r="B184">
        <v>1</v>
      </c>
      <c r="C184">
        <v>610</v>
      </c>
      <c r="D184">
        <v>79</v>
      </c>
      <c r="E184">
        <v>81</v>
      </c>
      <c r="F184">
        <v>86</v>
      </c>
      <c r="G184">
        <v>2.8</v>
      </c>
      <c r="H184">
        <v>3</v>
      </c>
      <c r="I184">
        <v>3</v>
      </c>
      <c r="J184">
        <v>11</v>
      </c>
      <c r="K184">
        <v>1</v>
      </c>
      <c r="L184">
        <v>0</v>
      </c>
      <c r="M184">
        <v>6</v>
      </c>
    </row>
    <row r="185" spans="1:13">
      <c r="A185">
        <v>34</v>
      </c>
      <c r="B185">
        <v>1</v>
      </c>
      <c r="C185">
        <v>610</v>
      </c>
      <c r="D185">
        <v>82</v>
      </c>
      <c r="E185">
        <v>78</v>
      </c>
      <c r="F185">
        <v>86</v>
      </c>
      <c r="G185">
        <v>2.7</v>
      </c>
      <c r="H185">
        <v>3</v>
      </c>
      <c r="I185">
        <v>3</v>
      </c>
      <c r="J185">
        <v>12</v>
      </c>
      <c r="K185">
        <v>1</v>
      </c>
      <c r="L185">
        <v>0</v>
      </c>
      <c r="M185">
        <v>5</v>
      </c>
    </row>
    <row r="186" spans="1:13">
      <c r="A186">
        <v>43</v>
      </c>
      <c r="B186">
        <v>1</v>
      </c>
      <c r="C186">
        <v>480</v>
      </c>
      <c r="D186">
        <v>49</v>
      </c>
      <c r="E186">
        <v>41</v>
      </c>
      <c r="F186">
        <v>45</v>
      </c>
      <c r="G186">
        <v>2.9</v>
      </c>
      <c r="H186">
        <v>3.25</v>
      </c>
      <c r="I186">
        <v>3</v>
      </c>
      <c r="J186">
        <v>22</v>
      </c>
      <c r="K186">
        <v>1</v>
      </c>
      <c r="L186">
        <v>0</v>
      </c>
      <c r="M186">
        <v>5</v>
      </c>
    </row>
    <row r="187" spans="1:13">
      <c r="A187">
        <v>23</v>
      </c>
      <c r="B187">
        <v>2</v>
      </c>
      <c r="C187">
        <v>520</v>
      </c>
      <c r="D187">
        <v>43</v>
      </c>
      <c r="E187">
        <v>67</v>
      </c>
      <c r="F187">
        <v>58</v>
      </c>
      <c r="G187">
        <v>2.9</v>
      </c>
      <c r="H187">
        <v>2.75</v>
      </c>
      <c r="I187">
        <v>3</v>
      </c>
      <c r="J187">
        <v>1</v>
      </c>
      <c r="K187">
        <v>1</v>
      </c>
      <c r="L187">
        <v>78256</v>
      </c>
      <c r="M187">
        <v>5</v>
      </c>
    </row>
    <row r="188" spans="1:13">
      <c r="A188">
        <v>27</v>
      </c>
      <c r="B188">
        <v>1</v>
      </c>
      <c r="C188">
        <v>620</v>
      </c>
      <c r="D188">
        <v>87</v>
      </c>
      <c r="E188">
        <v>74</v>
      </c>
      <c r="F188">
        <v>87</v>
      </c>
      <c r="G188">
        <v>2.7</v>
      </c>
      <c r="H188">
        <v>2.75</v>
      </c>
      <c r="I188">
        <v>3</v>
      </c>
      <c r="J188">
        <v>3</v>
      </c>
      <c r="K188">
        <v>1</v>
      </c>
      <c r="L188">
        <v>88500</v>
      </c>
      <c r="M188">
        <v>6</v>
      </c>
    </row>
    <row r="189" spans="1:13">
      <c r="A189">
        <v>25</v>
      </c>
      <c r="B189">
        <v>1</v>
      </c>
      <c r="C189">
        <v>580</v>
      </c>
      <c r="D189">
        <v>78</v>
      </c>
      <c r="E189">
        <v>67</v>
      </c>
      <c r="F189">
        <v>80</v>
      </c>
      <c r="G189">
        <v>2.9</v>
      </c>
      <c r="H189">
        <v>3.25</v>
      </c>
      <c r="I189">
        <v>3</v>
      </c>
      <c r="J189">
        <v>2</v>
      </c>
      <c r="K189">
        <v>1</v>
      </c>
      <c r="L189">
        <v>90000</v>
      </c>
      <c r="M189">
        <v>7</v>
      </c>
    </row>
    <row r="190" spans="1:13">
      <c r="A190">
        <v>25</v>
      </c>
      <c r="B190">
        <v>1</v>
      </c>
      <c r="C190">
        <v>630</v>
      </c>
      <c r="D190">
        <v>75</v>
      </c>
      <c r="E190">
        <v>93</v>
      </c>
      <c r="F190">
        <v>89</v>
      </c>
      <c r="G190">
        <v>2.7</v>
      </c>
      <c r="H190">
        <v>2.5</v>
      </c>
      <c r="I190">
        <v>3</v>
      </c>
      <c r="J190">
        <v>2</v>
      </c>
      <c r="K190">
        <v>1</v>
      </c>
      <c r="L190">
        <v>90000</v>
      </c>
      <c r="M190">
        <v>5</v>
      </c>
    </row>
    <row r="191" spans="1:13">
      <c r="A191">
        <v>25</v>
      </c>
      <c r="B191">
        <v>1</v>
      </c>
      <c r="C191">
        <v>610</v>
      </c>
      <c r="D191">
        <v>89</v>
      </c>
      <c r="E191">
        <v>74</v>
      </c>
      <c r="F191">
        <v>87</v>
      </c>
      <c r="G191">
        <v>2.7</v>
      </c>
      <c r="H191">
        <v>2.75</v>
      </c>
      <c r="I191">
        <v>3</v>
      </c>
      <c r="J191">
        <v>4</v>
      </c>
      <c r="K191">
        <v>1</v>
      </c>
      <c r="L191">
        <v>93000</v>
      </c>
      <c r="M191">
        <v>6</v>
      </c>
    </row>
    <row r="192" spans="1:13">
      <c r="A192">
        <v>29</v>
      </c>
      <c r="B192">
        <v>2</v>
      </c>
      <c r="C192">
        <v>560</v>
      </c>
      <c r="D192">
        <v>64</v>
      </c>
      <c r="E192">
        <v>71</v>
      </c>
      <c r="F192">
        <v>72</v>
      </c>
      <c r="G192">
        <v>2.9</v>
      </c>
      <c r="H192">
        <v>3</v>
      </c>
      <c r="I192">
        <v>3</v>
      </c>
      <c r="J192">
        <v>5</v>
      </c>
      <c r="K192">
        <v>1</v>
      </c>
      <c r="L192">
        <v>95000</v>
      </c>
      <c r="M192">
        <v>7</v>
      </c>
    </row>
    <row r="193" spans="1:13">
      <c r="A193">
        <v>27</v>
      </c>
      <c r="B193">
        <v>1</v>
      </c>
      <c r="C193">
        <v>620</v>
      </c>
      <c r="D193">
        <v>79</v>
      </c>
      <c r="E193">
        <v>87</v>
      </c>
      <c r="F193">
        <v>88</v>
      </c>
      <c r="G193">
        <v>2.9</v>
      </c>
      <c r="H193">
        <v>2.75</v>
      </c>
      <c r="I193">
        <v>3</v>
      </c>
      <c r="J193">
        <v>4</v>
      </c>
      <c r="K193">
        <v>1</v>
      </c>
      <c r="L193">
        <v>97000</v>
      </c>
      <c r="M193">
        <v>7</v>
      </c>
    </row>
    <row r="194" spans="1:13">
      <c r="A194">
        <v>28</v>
      </c>
      <c r="B194">
        <v>1</v>
      </c>
      <c r="C194">
        <v>580</v>
      </c>
      <c r="D194">
        <v>72</v>
      </c>
      <c r="E194">
        <v>71</v>
      </c>
      <c r="F194">
        <v>78</v>
      </c>
      <c r="G194">
        <v>2.8</v>
      </c>
      <c r="H194">
        <v>3</v>
      </c>
      <c r="I194">
        <v>3</v>
      </c>
      <c r="J194">
        <v>3</v>
      </c>
      <c r="K194">
        <v>1</v>
      </c>
      <c r="L194">
        <v>97000</v>
      </c>
      <c r="M194">
        <v>6</v>
      </c>
    </row>
    <row r="195" spans="1:13">
      <c r="A195">
        <v>24</v>
      </c>
      <c r="B195">
        <v>2</v>
      </c>
      <c r="C195">
        <v>670</v>
      </c>
      <c r="D195">
        <v>83</v>
      </c>
      <c r="E195">
        <v>98</v>
      </c>
      <c r="F195">
        <v>96</v>
      </c>
      <c r="G195">
        <v>2.9</v>
      </c>
      <c r="H195">
        <v>3.25</v>
      </c>
      <c r="I195">
        <v>3</v>
      </c>
      <c r="J195">
        <v>2</v>
      </c>
      <c r="K195">
        <v>1</v>
      </c>
      <c r="L195">
        <v>98000</v>
      </c>
      <c r="M195">
        <v>7</v>
      </c>
    </row>
    <row r="196" spans="1:13">
      <c r="A196">
        <v>25</v>
      </c>
      <c r="B196">
        <v>2</v>
      </c>
      <c r="C196">
        <v>560</v>
      </c>
      <c r="D196">
        <v>39</v>
      </c>
      <c r="E196">
        <v>91</v>
      </c>
      <c r="F196">
        <v>72</v>
      </c>
      <c r="G196">
        <v>2.9</v>
      </c>
      <c r="H196">
        <v>3</v>
      </c>
      <c r="I196">
        <v>3</v>
      </c>
      <c r="J196">
        <v>2</v>
      </c>
      <c r="K196">
        <v>1</v>
      </c>
      <c r="L196">
        <v>98000</v>
      </c>
      <c r="M196">
        <v>7</v>
      </c>
    </row>
    <row r="197" spans="1:13">
      <c r="A197">
        <v>25</v>
      </c>
      <c r="B197">
        <v>2</v>
      </c>
      <c r="C197">
        <v>580</v>
      </c>
      <c r="D197">
        <v>72</v>
      </c>
      <c r="E197">
        <v>71</v>
      </c>
      <c r="F197">
        <v>78</v>
      </c>
      <c r="G197">
        <v>2.8</v>
      </c>
      <c r="H197">
        <v>3.25</v>
      </c>
      <c r="I197">
        <v>3</v>
      </c>
      <c r="J197">
        <v>2</v>
      </c>
      <c r="K197">
        <v>1</v>
      </c>
      <c r="L197">
        <v>98000</v>
      </c>
      <c r="M197">
        <v>6</v>
      </c>
    </row>
    <row r="198" spans="1:13">
      <c r="A198">
        <v>27</v>
      </c>
      <c r="B198">
        <v>1</v>
      </c>
      <c r="C198">
        <v>680</v>
      </c>
      <c r="D198">
        <v>97</v>
      </c>
      <c r="E198">
        <v>90</v>
      </c>
      <c r="F198">
        <v>97</v>
      </c>
      <c r="G198">
        <v>2.9</v>
      </c>
      <c r="H198">
        <v>2.75</v>
      </c>
      <c r="I198">
        <v>3</v>
      </c>
      <c r="J198">
        <v>2</v>
      </c>
      <c r="K198">
        <v>2</v>
      </c>
      <c r="L198">
        <v>98000</v>
      </c>
      <c r="M198">
        <v>6</v>
      </c>
    </row>
    <row r="199" spans="1:13">
      <c r="A199">
        <v>28</v>
      </c>
      <c r="B199">
        <v>1</v>
      </c>
      <c r="C199">
        <v>610</v>
      </c>
      <c r="D199">
        <v>89</v>
      </c>
      <c r="E199">
        <v>67</v>
      </c>
      <c r="F199">
        <v>86</v>
      </c>
      <c r="G199">
        <v>2.7</v>
      </c>
      <c r="H199">
        <v>3</v>
      </c>
      <c r="I199">
        <v>3</v>
      </c>
      <c r="J199">
        <v>4</v>
      </c>
      <c r="K199">
        <v>1</v>
      </c>
      <c r="L199">
        <v>98000</v>
      </c>
      <c r="M199">
        <v>7</v>
      </c>
    </row>
    <row r="200" spans="1:13">
      <c r="A200">
        <v>29</v>
      </c>
      <c r="B200">
        <v>1</v>
      </c>
      <c r="C200">
        <v>710</v>
      </c>
      <c r="D200">
        <v>93</v>
      </c>
      <c r="E200">
        <v>98</v>
      </c>
      <c r="F200">
        <v>99</v>
      </c>
      <c r="G200">
        <v>2.9</v>
      </c>
      <c r="H200">
        <v>3.25</v>
      </c>
      <c r="I200">
        <v>3</v>
      </c>
      <c r="J200">
        <v>7</v>
      </c>
      <c r="K200">
        <v>1</v>
      </c>
      <c r="L200">
        <v>98000</v>
      </c>
      <c r="M200">
        <v>5</v>
      </c>
    </row>
    <row r="201" spans="1:13">
      <c r="A201">
        <v>24</v>
      </c>
      <c r="B201">
        <v>1</v>
      </c>
      <c r="C201">
        <v>710</v>
      </c>
      <c r="D201">
        <v>99</v>
      </c>
      <c r="E201">
        <v>92</v>
      </c>
      <c r="F201">
        <v>99</v>
      </c>
      <c r="G201">
        <v>2.9</v>
      </c>
      <c r="H201">
        <v>3</v>
      </c>
      <c r="I201">
        <v>3</v>
      </c>
      <c r="J201">
        <v>3</v>
      </c>
      <c r="K201">
        <v>1</v>
      </c>
      <c r="L201">
        <v>100000</v>
      </c>
      <c r="M201">
        <v>6</v>
      </c>
    </row>
    <row r="202" spans="1:13">
      <c r="A202">
        <v>25</v>
      </c>
      <c r="B202">
        <v>2</v>
      </c>
      <c r="C202">
        <v>630</v>
      </c>
      <c r="D202">
        <v>84</v>
      </c>
      <c r="E202">
        <v>87</v>
      </c>
      <c r="F202">
        <v>89</v>
      </c>
      <c r="G202">
        <v>2.8</v>
      </c>
      <c r="H202">
        <v>2.75</v>
      </c>
      <c r="I202">
        <v>3</v>
      </c>
      <c r="J202">
        <v>2</v>
      </c>
      <c r="K202">
        <v>1</v>
      </c>
      <c r="L202">
        <v>100000</v>
      </c>
      <c r="M202">
        <v>6</v>
      </c>
    </row>
    <row r="203" spans="1:13">
      <c r="A203">
        <v>24</v>
      </c>
      <c r="B203">
        <v>2</v>
      </c>
      <c r="C203">
        <v>600</v>
      </c>
      <c r="D203">
        <v>89</v>
      </c>
      <c r="E203">
        <v>67</v>
      </c>
      <c r="F203">
        <v>85</v>
      </c>
      <c r="G203">
        <v>2.8</v>
      </c>
      <c r="H203">
        <v>3</v>
      </c>
      <c r="I203">
        <v>3</v>
      </c>
      <c r="J203">
        <v>2</v>
      </c>
      <c r="K203">
        <v>1</v>
      </c>
      <c r="L203">
        <v>101000</v>
      </c>
      <c r="M203">
        <v>6</v>
      </c>
    </row>
    <row r="204" spans="1:13">
      <c r="A204">
        <v>29</v>
      </c>
      <c r="B204">
        <v>1</v>
      </c>
      <c r="C204">
        <v>660</v>
      </c>
      <c r="D204">
        <v>91</v>
      </c>
      <c r="E204">
        <v>90</v>
      </c>
      <c r="F204">
        <v>95</v>
      </c>
      <c r="G204">
        <v>2.8</v>
      </c>
      <c r="H204">
        <v>3</v>
      </c>
      <c r="I204">
        <v>3</v>
      </c>
      <c r="J204">
        <v>8</v>
      </c>
      <c r="K204">
        <v>1</v>
      </c>
      <c r="L204">
        <v>101100</v>
      </c>
      <c r="M204">
        <v>6</v>
      </c>
    </row>
    <row r="205" spans="1:13">
      <c r="A205">
        <v>30</v>
      </c>
      <c r="B205">
        <v>1</v>
      </c>
      <c r="C205">
        <v>670</v>
      </c>
      <c r="D205">
        <v>83</v>
      </c>
      <c r="E205">
        <v>97</v>
      </c>
      <c r="F205">
        <v>96</v>
      </c>
      <c r="G205">
        <v>2.8</v>
      </c>
      <c r="H205">
        <v>2.75</v>
      </c>
      <c r="I205">
        <v>3</v>
      </c>
      <c r="J205">
        <v>6</v>
      </c>
      <c r="K205">
        <v>1</v>
      </c>
      <c r="L205">
        <v>102500</v>
      </c>
      <c r="M205">
        <v>5</v>
      </c>
    </row>
    <row r="206" spans="1:13">
      <c r="A206">
        <v>24</v>
      </c>
      <c r="B206">
        <v>1</v>
      </c>
      <c r="C206">
        <v>580</v>
      </c>
      <c r="D206">
        <v>89</v>
      </c>
      <c r="E206">
        <v>54</v>
      </c>
      <c r="F206">
        <v>78</v>
      </c>
      <c r="G206">
        <v>2.91</v>
      </c>
      <c r="H206">
        <v>2.83</v>
      </c>
      <c r="I206">
        <v>3</v>
      </c>
      <c r="J206">
        <v>2</v>
      </c>
      <c r="K206">
        <v>1</v>
      </c>
      <c r="L206">
        <v>105000</v>
      </c>
      <c r="M206">
        <v>5</v>
      </c>
    </row>
    <row r="207" spans="1:13">
      <c r="A207">
        <v>29</v>
      </c>
      <c r="B207">
        <v>1</v>
      </c>
      <c r="C207">
        <v>680</v>
      </c>
      <c r="D207">
        <v>79</v>
      </c>
      <c r="E207">
        <v>99</v>
      </c>
      <c r="F207">
        <v>96</v>
      </c>
      <c r="G207">
        <v>2.9</v>
      </c>
      <c r="H207">
        <v>3</v>
      </c>
      <c r="I207">
        <v>3</v>
      </c>
      <c r="J207">
        <v>6</v>
      </c>
      <c r="K207">
        <v>1</v>
      </c>
      <c r="L207">
        <v>106000</v>
      </c>
      <c r="M207">
        <v>6</v>
      </c>
    </row>
    <row r="208" spans="1:13">
      <c r="A208">
        <v>32</v>
      </c>
      <c r="B208">
        <v>1</v>
      </c>
      <c r="C208">
        <v>660</v>
      </c>
      <c r="D208">
        <v>83</v>
      </c>
      <c r="E208">
        <v>95</v>
      </c>
      <c r="F208">
        <v>94</v>
      </c>
      <c r="G208">
        <v>2.9</v>
      </c>
      <c r="H208">
        <v>3.5</v>
      </c>
      <c r="I208">
        <v>3</v>
      </c>
      <c r="J208">
        <v>2</v>
      </c>
      <c r="K208">
        <v>2</v>
      </c>
      <c r="L208">
        <v>107300</v>
      </c>
      <c r="M208">
        <v>7</v>
      </c>
    </row>
    <row r="209" spans="1:13">
      <c r="A209">
        <v>28</v>
      </c>
      <c r="B209">
        <v>1</v>
      </c>
      <c r="C209">
        <v>570</v>
      </c>
      <c r="D209">
        <v>56</v>
      </c>
      <c r="E209">
        <v>84</v>
      </c>
      <c r="F209">
        <v>75</v>
      </c>
      <c r="G209">
        <v>2.9</v>
      </c>
      <c r="H209">
        <v>3</v>
      </c>
      <c r="I209">
        <v>3</v>
      </c>
      <c r="J209">
        <v>4</v>
      </c>
      <c r="K209">
        <v>1</v>
      </c>
      <c r="L209">
        <v>108000</v>
      </c>
      <c r="M209">
        <v>6</v>
      </c>
    </row>
    <row r="210" spans="1:13">
      <c r="A210">
        <v>24</v>
      </c>
      <c r="B210">
        <v>1</v>
      </c>
      <c r="C210">
        <v>680</v>
      </c>
      <c r="D210">
        <v>96</v>
      </c>
      <c r="E210">
        <v>87</v>
      </c>
      <c r="F210">
        <v>97</v>
      </c>
      <c r="G210">
        <v>2.8</v>
      </c>
      <c r="H210">
        <v>2.75</v>
      </c>
      <c r="I210">
        <v>3</v>
      </c>
      <c r="J210">
        <v>2</v>
      </c>
      <c r="K210">
        <v>1</v>
      </c>
      <c r="L210">
        <v>112000</v>
      </c>
      <c r="M210">
        <v>6</v>
      </c>
    </row>
    <row r="211" spans="1:13">
      <c r="A211">
        <v>24</v>
      </c>
      <c r="B211">
        <v>1</v>
      </c>
      <c r="C211">
        <v>610</v>
      </c>
      <c r="D211">
        <v>82</v>
      </c>
      <c r="E211">
        <v>81</v>
      </c>
      <c r="F211">
        <v>86</v>
      </c>
      <c r="G211">
        <v>2.5</v>
      </c>
      <c r="H211">
        <v>2.75</v>
      </c>
      <c r="I211">
        <v>4</v>
      </c>
      <c r="J211">
        <v>2</v>
      </c>
      <c r="K211">
        <v>1</v>
      </c>
      <c r="L211">
        <v>998</v>
      </c>
      <c r="M211">
        <v>998</v>
      </c>
    </row>
    <row r="212" spans="1:13">
      <c r="A212">
        <v>24</v>
      </c>
      <c r="B212">
        <v>1</v>
      </c>
      <c r="C212">
        <v>640</v>
      </c>
      <c r="D212">
        <v>93</v>
      </c>
      <c r="E212">
        <v>78</v>
      </c>
      <c r="F212">
        <v>91</v>
      </c>
      <c r="G212">
        <v>2.4</v>
      </c>
      <c r="H212">
        <v>2.5</v>
      </c>
      <c r="I212">
        <v>4</v>
      </c>
      <c r="J212">
        <v>1</v>
      </c>
      <c r="K212">
        <v>1</v>
      </c>
      <c r="L212">
        <v>998</v>
      </c>
      <c r="M212">
        <v>998</v>
      </c>
    </row>
    <row r="213" spans="1:13">
      <c r="A213">
        <v>25</v>
      </c>
      <c r="B213">
        <v>1</v>
      </c>
      <c r="C213">
        <v>600</v>
      </c>
      <c r="D213">
        <v>53</v>
      </c>
      <c r="E213">
        <v>95</v>
      </c>
      <c r="F213">
        <v>84</v>
      </c>
      <c r="G213">
        <v>2.5</v>
      </c>
      <c r="H213">
        <v>3</v>
      </c>
      <c r="I213">
        <v>4</v>
      </c>
      <c r="J213">
        <v>2</v>
      </c>
      <c r="K213">
        <v>1</v>
      </c>
      <c r="L213">
        <v>999</v>
      </c>
      <c r="M213">
        <v>4</v>
      </c>
    </row>
    <row r="214" spans="1:13">
      <c r="A214">
        <v>25</v>
      </c>
      <c r="B214">
        <v>1</v>
      </c>
      <c r="C214">
        <v>730</v>
      </c>
      <c r="D214">
        <v>98</v>
      </c>
      <c r="E214">
        <v>96</v>
      </c>
      <c r="F214">
        <v>99</v>
      </c>
      <c r="G214">
        <v>2.4</v>
      </c>
      <c r="H214">
        <v>2.75</v>
      </c>
      <c r="I214">
        <v>4</v>
      </c>
      <c r="J214">
        <v>2</v>
      </c>
      <c r="K214">
        <v>1</v>
      </c>
      <c r="L214">
        <v>0</v>
      </c>
      <c r="M214">
        <v>6</v>
      </c>
    </row>
    <row r="215" spans="1:13">
      <c r="A215">
        <v>25</v>
      </c>
      <c r="B215">
        <v>2</v>
      </c>
      <c r="C215">
        <v>650</v>
      </c>
      <c r="D215">
        <v>87</v>
      </c>
      <c r="E215">
        <v>91</v>
      </c>
      <c r="F215">
        <v>93</v>
      </c>
      <c r="G215">
        <v>2.5</v>
      </c>
      <c r="H215">
        <v>2.5</v>
      </c>
      <c r="I215">
        <v>4</v>
      </c>
      <c r="J215">
        <v>3</v>
      </c>
      <c r="K215">
        <v>1</v>
      </c>
      <c r="L215">
        <v>999</v>
      </c>
      <c r="M215">
        <v>7</v>
      </c>
    </row>
    <row r="216" spans="1:13">
      <c r="A216">
        <v>25</v>
      </c>
      <c r="B216">
        <v>1</v>
      </c>
      <c r="C216">
        <v>640</v>
      </c>
      <c r="D216">
        <v>79</v>
      </c>
      <c r="E216">
        <v>93</v>
      </c>
      <c r="F216">
        <v>91</v>
      </c>
      <c r="G216">
        <v>2.67</v>
      </c>
      <c r="H216">
        <v>0</v>
      </c>
      <c r="I216">
        <v>4</v>
      </c>
      <c r="J216">
        <v>1</v>
      </c>
      <c r="K216">
        <v>1</v>
      </c>
      <c r="L216">
        <v>998</v>
      </c>
      <c r="M216">
        <v>998</v>
      </c>
    </row>
    <row r="217" spans="1:13">
      <c r="A217">
        <v>25</v>
      </c>
      <c r="B217">
        <v>1</v>
      </c>
      <c r="C217">
        <v>590</v>
      </c>
      <c r="D217">
        <v>68</v>
      </c>
      <c r="E217">
        <v>81</v>
      </c>
      <c r="F217">
        <v>81</v>
      </c>
      <c r="G217">
        <v>2.6</v>
      </c>
      <c r="H217">
        <v>2.75</v>
      </c>
      <c r="I217">
        <v>4</v>
      </c>
      <c r="J217">
        <v>3</v>
      </c>
      <c r="K217">
        <v>1</v>
      </c>
      <c r="L217">
        <v>998</v>
      </c>
      <c r="M217">
        <v>998</v>
      </c>
    </row>
    <row r="218" spans="1:13">
      <c r="A218">
        <v>25</v>
      </c>
      <c r="B218">
        <v>1</v>
      </c>
      <c r="C218">
        <v>590</v>
      </c>
      <c r="D218">
        <v>97</v>
      </c>
      <c r="E218">
        <v>41</v>
      </c>
      <c r="F218">
        <v>81</v>
      </c>
      <c r="G218">
        <v>2.5</v>
      </c>
      <c r="H218">
        <v>2.75</v>
      </c>
      <c r="I218">
        <v>4</v>
      </c>
      <c r="J218">
        <v>2</v>
      </c>
      <c r="K218">
        <v>2</v>
      </c>
      <c r="L218">
        <v>999</v>
      </c>
      <c r="M218">
        <v>4</v>
      </c>
    </row>
    <row r="219" spans="1:13">
      <c r="A219">
        <v>25</v>
      </c>
      <c r="B219">
        <v>1</v>
      </c>
      <c r="C219">
        <v>700</v>
      </c>
      <c r="D219">
        <v>99</v>
      </c>
      <c r="E219">
        <v>87</v>
      </c>
      <c r="F219">
        <v>98</v>
      </c>
      <c r="G219">
        <v>2</v>
      </c>
      <c r="H219">
        <v>2</v>
      </c>
      <c r="I219">
        <v>4</v>
      </c>
      <c r="J219">
        <v>1</v>
      </c>
      <c r="K219">
        <v>1</v>
      </c>
      <c r="L219">
        <v>0</v>
      </c>
      <c r="M219">
        <v>7</v>
      </c>
    </row>
    <row r="220" spans="1:13">
      <c r="A220">
        <v>26</v>
      </c>
      <c r="B220">
        <v>1</v>
      </c>
      <c r="C220">
        <v>660</v>
      </c>
      <c r="D220">
        <v>93</v>
      </c>
      <c r="E220">
        <v>87</v>
      </c>
      <c r="F220">
        <v>95</v>
      </c>
      <c r="G220">
        <v>2.6</v>
      </c>
      <c r="H220">
        <v>2</v>
      </c>
      <c r="I220">
        <v>4</v>
      </c>
      <c r="J220">
        <v>2</v>
      </c>
      <c r="K220">
        <v>1</v>
      </c>
      <c r="L220">
        <v>0</v>
      </c>
      <c r="M220">
        <v>5</v>
      </c>
    </row>
    <row r="221" spans="1:13">
      <c r="A221">
        <v>26</v>
      </c>
      <c r="B221">
        <v>1</v>
      </c>
      <c r="C221">
        <v>450</v>
      </c>
      <c r="D221">
        <v>28</v>
      </c>
      <c r="E221">
        <v>46</v>
      </c>
      <c r="F221">
        <v>34</v>
      </c>
      <c r="G221">
        <v>2.1</v>
      </c>
      <c r="H221">
        <v>2</v>
      </c>
      <c r="I221">
        <v>4</v>
      </c>
      <c r="J221">
        <v>4</v>
      </c>
      <c r="K221">
        <v>1</v>
      </c>
      <c r="L221">
        <v>0</v>
      </c>
      <c r="M221">
        <v>6</v>
      </c>
    </row>
    <row r="222" spans="1:13">
      <c r="A222">
        <v>26</v>
      </c>
      <c r="B222">
        <v>1</v>
      </c>
      <c r="C222">
        <v>560</v>
      </c>
      <c r="D222">
        <v>87</v>
      </c>
      <c r="E222">
        <v>45</v>
      </c>
      <c r="F222">
        <v>72</v>
      </c>
      <c r="G222">
        <v>2.6</v>
      </c>
      <c r="H222">
        <v>3</v>
      </c>
      <c r="I222">
        <v>4</v>
      </c>
      <c r="J222">
        <v>3</v>
      </c>
      <c r="K222">
        <v>2</v>
      </c>
      <c r="L222">
        <v>999</v>
      </c>
      <c r="M222">
        <v>3</v>
      </c>
    </row>
    <row r="223" spans="1:13">
      <c r="A223">
        <v>26</v>
      </c>
      <c r="B223">
        <v>1</v>
      </c>
      <c r="C223">
        <v>600</v>
      </c>
      <c r="D223">
        <v>75</v>
      </c>
      <c r="E223">
        <v>78</v>
      </c>
      <c r="F223">
        <v>83</v>
      </c>
      <c r="G223">
        <v>2.2</v>
      </c>
      <c r="H223">
        <v>2.25</v>
      </c>
      <c r="I223">
        <v>4</v>
      </c>
      <c r="J223">
        <v>2</v>
      </c>
      <c r="K223">
        <v>1</v>
      </c>
      <c r="L223">
        <v>0</v>
      </c>
      <c r="M223">
        <v>6</v>
      </c>
    </row>
    <row r="224" spans="1:13">
      <c r="A224">
        <v>26</v>
      </c>
      <c r="B224">
        <v>1</v>
      </c>
      <c r="C224">
        <v>570</v>
      </c>
      <c r="D224">
        <v>82</v>
      </c>
      <c r="E224">
        <v>58</v>
      </c>
      <c r="F224">
        <v>75</v>
      </c>
      <c r="G224">
        <v>2.5</v>
      </c>
      <c r="H224">
        <v>2.75</v>
      </c>
      <c r="I224">
        <v>4</v>
      </c>
      <c r="J224">
        <v>3</v>
      </c>
      <c r="K224">
        <v>1</v>
      </c>
      <c r="L224">
        <v>999</v>
      </c>
      <c r="M224">
        <v>6</v>
      </c>
    </row>
    <row r="225" spans="1:13">
      <c r="A225">
        <v>26</v>
      </c>
      <c r="B225">
        <v>1</v>
      </c>
      <c r="C225">
        <v>590</v>
      </c>
      <c r="D225">
        <v>89</v>
      </c>
      <c r="E225">
        <v>58</v>
      </c>
      <c r="F225">
        <v>81</v>
      </c>
      <c r="G225">
        <v>2.5</v>
      </c>
      <c r="H225">
        <v>2.25</v>
      </c>
      <c r="I225">
        <v>4</v>
      </c>
      <c r="J225">
        <v>3</v>
      </c>
      <c r="K225">
        <v>1</v>
      </c>
      <c r="L225">
        <v>998</v>
      </c>
      <c r="M225">
        <v>998</v>
      </c>
    </row>
    <row r="226" spans="1:13">
      <c r="A226">
        <v>26</v>
      </c>
      <c r="B226">
        <v>2</v>
      </c>
      <c r="C226">
        <v>670</v>
      </c>
      <c r="D226">
        <v>98</v>
      </c>
      <c r="E226">
        <v>81</v>
      </c>
      <c r="F226">
        <v>95</v>
      </c>
      <c r="G226">
        <v>2.6</v>
      </c>
      <c r="H226">
        <v>2.5</v>
      </c>
      <c r="I226">
        <v>4</v>
      </c>
      <c r="J226">
        <v>3</v>
      </c>
      <c r="K226">
        <v>1</v>
      </c>
      <c r="L226">
        <v>998</v>
      </c>
      <c r="M226">
        <v>998</v>
      </c>
    </row>
    <row r="227" spans="1:13">
      <c r="A227">
        <v>27</v>
      </c>
      <c r="B227">
        <v>1</v>
      </c>
      <c r="C227">
        <v>660</v>
      </c>
      <c r="D227">
        <v>97</v>
      </c>
      <c r="E227">
        <v>81</v>
      </c>
      <c r="F227">
        <v>94</v>
      </c>
      <c r="G227">
        <v>2.5</v>
      </c>
      <c r="H227">
        <v>2.5</v>
      </c>
      <c r="I227">
        <v>4</v>
      </c>
      <c r="J227">
        <v>4</v>
      </c>
      <c r="K227">
        <v>1</v>
      </c>
      <c r="L227">
        <v>999</v>
      </c>
      <c r="M227">
        <v>4</v>
      </c>
    </row>
    <row r="228" spans="1:13">
      <c r="A228">
        <v>27</v>
      </c>
      <c r="B228">
        <v>2</v>
      </c>
      <c r="C228">
        <v>560</v>
      </c>
      <c r="D228">
        <v>59</v>
      </c>
      <c r="E228">
        <v>74</v>
      </c>
      <c r="F228">
        <v>73</v>
      </c>
      <c r="G228">
        <v>2.4</v>
      </c>
      <c r="H228">
        <v>2.5</v>
      </c>
      <c r="I228">
        <v>4</v>
      </c>
      <c r="J228">
        <v>2</v>
      </c>
      <c r="K228">
        <v>1</v>
      </c>
      <c r="L228">
        <v>0</v>
      </c>
      <c r="M228">
        <v>5</v>
      </c>
    </row>
    <row r="229" spans="1:13">
      <c r="A229">
        <v>27</v>
      </c>
      <c r="B229">
        <v>1</v>
      </c>
      <c r="C229">
        <v>790</v>
      </c>
      <c r="D229">
        <v>99</v>
      </c>
      <c r="E229">
        <v>99</v>
      </c>
      <c r="F229">
        <v>99</v>
      </c>
      <c r="G229">
        <v>2.4</v>
      </c>
      <c r="H229">
        <v>2.5</v>
      </c>
      <c r="I229">
        <v>4</v>
      </c>
      <c r="J229">
        <v>4</v>
      </c>
      <c r="K229">
        <v>1</v>
      </c>
      <c r="L229">
        <v>999</v>
      </c>
      <c r="M229">
        <v>6</v>
      </c>
    </row>
    <row r="230" spans="1:13">
      <c r="A230">
        <v>27</v>
      </c>
      <c r="B230">
        <v>1</v>
      </c>
      <c r="C230">
        <v>630</v>
      </c>
      <c r="D230">
        <v>93</v>
      </c>
      <c r="E230">
        <v>78</v>
      </c>
      <c r="F230">
        <v>91</v>
      </c>
      <c r="G230">
        <v>2.1</v>
      </c>
      <c r="H230">
        <v>2.5</v>
      </c>
      <c r="I230">
        <v>4</v>
      </c>
      <c r="J230">
        <v>4</v>
      </c>
      <c r="K230">
        <v>1</v>
      </c>
      <c r="L230">
        <v>0</v>
      </c>
      <c r="M230">
        <v>5</v>
      </c>
    </row>
    <row r="231" spans="1:13">
      <c r="A231">
        <v>27</v>
      </c>
      <c r="B231">
        <v>1</v>
      </c>
      <c r="C231">
        <v>580</v>
      </c>
      <c r="D231">
        <v>84</v>
      </c>
      <c r="E231">
        <v>58</v>
      </c>
      <c r="F231">
        <v>78</v>
      </c>
      <c r="G231">
        <v>2.7</v>
      </c>
      <c r="H231">
        <v>2.75</v>
      </c>
      <c r="I231">
        <v>4</v>
      </c>
      <c r="J231">
        <v>1</v>
      </c>
      <c r="K231">
        <v>1</v>
      </c>
      <c r="L231">
        <v>0</v>
      </c>
      <c r="M231">
        <v>5</v>
      </c>
    </row>
    <row r="232" spans="1:13">
      <c r="A232">
        <v>27</v>
      </c>
      <c r="B232">
        <v>1</v>
      </c>
      <c r="C232">
        <v>620</v>
      </c>
      <c r="D232">
        <v>85</v>
      </c>
      <c r="E232">
        <v>85</v>
      </c>
      <c r="F232">
        <v>89</v>
      </c>
      <c r="G232">
        <v>3.3</v>
      </c>
      <c r="H232">
        <v>3</v>
      </c>
      <c r="I232">
        <v>4</v>
      </c>
      <c r="J232">
        <v>1</v>
      </c>
      <c r="K232">
        <v>1</v>
      </c>
      <c r="L232">
        <v>999</v>
      </c>
      <c r="M232">
        <v>5</v>
      </c>
    </row>
    <row r="233" spans="1:13">
      <c r="A233">
        <v>27</v>
      </c>
      <c r="B233">
        <v>1</v>
      </c>
      <c r="C233">
        <v>670</v>
      </c>
      <c r="D233">
        <v>89</v>
      </c>
      <c r="E233">
        <v>91</v>
      </c>
      <c r="F233">
        <v>95</v>
      </c>
      <c r="G233">
        <v>3.6</v>
      </c>
      <c r="H233">
        <v>3.25</v>
      </c>
      <c r="I233">
        <v>4</v>
      </c>
      <c r="J233">
        <v>5</v>
      </c>
      <c r="K233">
        <v>1</v>
      </c>
      <c r="L233">
        <v>0</v>
      </c>
      <c r="M233">
        <v>6</v>
      </c>
    </row>
    <row r="234" spans="1:13">
      <c r="A234">
        <v>27</v>
      </c>
      <c r="B234">
        <v>1</v>
      </c>
      <c r="C234">
        <v>580</v>
      </c>
      <c r="D234">
        <v>74</v>
      </c>
      <c r="E234">
        <v>70</v>
      </c>
      <c r="F234">
        <v>78</v>
      </c>
      <c r="G234">
        <v>3.4</v>
      </c>
      <c r="H234">
        <v>3.25</v>
      </c>
      <c r="I234">
        <v>4</v>
      </c>
      <c r="J234">
        <v>3</v>
      </c>
      <c r="K234">
        <v>1</v>
      </c>
      <c r="L234">
        <v>0</v>
      </c>
      <c r="M234">
        <v>6</v>
      </c>
    </row>
    <row r="235" spans="1:13">
      <c r="A235">
        <v>28</v>
      </c>
      <c r="B235">
        <v>1</v>
      </c>
      <c r="C235">
        <v>560</v>
      </c>
      <c r="D235">
        <v>74</v>
      </c>
      <c r="E235">
        <v>67</v>
      </c>
      <c r="F235">
        <v>73</v>
      </c>
      <c r="G235">
        <v>3.6</v>
      </c>
      <c r="H235">
        <v>3.6</v>
      </c>
      <c r="I235">
        <v>4</v>
      </c>
      <c r="J235">
        <v>5</v>
      </c>
      <c r="K235">
        <v>1</v>
      </c>
      <c r="L235">
        <v>0</v>
      </c>
      <c r="M235">
        <v>5</v>
      </c>
    </row>
    <row r="236" spans="1:13">
      <c r="A236">
        <v>28</v>
      </c>
      <c r="B236">
        <v>1</v>
      </c>
      <c r="C236">
        <v>620</v>
      </c>
      <c r="D236">
        <v>93</v>
      </c>
      <c r="E236">
        <v>71</v>
      </c>
      <c r="F236">
        <v>87</v>
      </c>
      <c r="G236">
        <v>2.4</v>
      </c>
      <c r="H236">
        <v>2.75</v>
      </c>
      <c r="I236">
        <v>4</v>
      </c>
      <c r="J236">
        <v>3</v>
      </c>
      <c r="K236">
        <v>1</v>
      </c>
      <c r="L236">
        <v>999</v>
      </c>
      <c r="M236">
        <v>4</v>
      </c>
    </row>
    <row r="237" spans="1:13">
      <c r="A237">
        <v>28</v>
      </c>
      <c r="B237">
        <v>1</v>
      </c>
      <c r="C237">
        <v>710</v>
      </c>
      <c r="D237">
        <v>94</v>
      </c>
      <c r="E237">
        <v>98</v>
      </c>
      <c r="F237">
        <v>99</v>
      </c>
      <c r="G237">
        <v>3.4</v>
      </c>
      <c r="H237">
        <v>3.75</v>
      </c>
      <c r="I237">
        <v>4</v>
      </c>
      <c r="J237">
        <v>6</v>
      </c>
      <c r="K237">
        <v>1</v>
      </c>
      <c r="L237">
        <v>0</v>
      </c>
      <c r="M237">
        <v>6</v>
      </c>
    </row>
    <row r="238" spans="1:13">
      <c r="A238">
        <v>28</v>
      </c>
      <c r="B238">
        <v>1</v>
      </c>
      <c r="C238">
        <v>570</v>
      </c>
      <c r="D238">
        <v>69</v>
      </c>
      <c r="E238">
        <v>71</v>
      </c>
      <c r="F238">
        <v>0</v>
      </c>
      <c r="G238">
        <v>2.3</v>
      </c>
      <c r="H238">
        <v>2.5</v>
      </c>
      <c r="I238">
        <v>4</v>
      </c>
      <c r="J238">
        <v>5</v>
      </c>
      <c r="K238">
        <v>1</v>
      </c>
      <c r="L238">
        <v>0</v>
      </c>
      <c r="M238">
        <v>5</v>
      </c>
    </row>
    <row r="239" spans="1:13">
      <c r="A239">
        <v>29</v>
      </c>
      <c r="B239">
        <v>1</v>
      </c>
      <c r="C239">
        <v>530</v>
      </c>
      <c r="D239">
        <v>35</v>
      </c>
      <c r="E239">
        <v>81</v>
      </c>
      <c r="F239">
        <v>62</v>
      </c>
      <c r="G239">
        <v>3.3</v>
      </c>
      <c r="H239">
        <v>2.75</v>
      </c>
      <c r="I239">
        <v>4</v>
      </c>
      <c r="J239">
        <v>6</v>
      </c>
      <c r="K239">
        <v>1</v>
      </c>
      <c r="L239">
        <v>0</v>
      </c>
      <c r="M239">
        <v>7</v>
      </c>
    </row>
    <row r="240" spans="1:13">
      <c r="A240">
        <v>29</v>
      </c>
      <c r="B240">
        <v>1</v>
      </c>
      <c r="C240">
        <v>690</v>
      </c>
      <c r="D240">
        <v>99</v>
      </c>
      <c r="E240">
        <v>87</v>
      </c>
      <c r="F240">
        <v>97</v>
      </c>
      <c r="G240">
        <v>2.3</v>
      </c>
      <c r="H240">
        <v>2.25</v>
      </c>
      <c r="I240">
        <v>4</v>
      </c>
      <c r="J240">
        <v>7</v>
      </c>
      <c r="K240">
        <v>1</v>
      </c>
      <c r="L240">
        <v>999</v>
      </c>
      <c r="M240">
        <v>5</v>
      </c>
    </row>
    <row r="241" spans="1:13">
      <c r="A241">
        <v>29</v>
      </c>
      <c r="B241">
        <v>1</v>
      </c>
      <c r="C241">
        <v>630</v>
      </c>
      <c r="D241">
        <v>87</v>
      </c>
      <c r="E241">
        <v>84</v>
      </c>
      <c r="F241">
        <v>89</v>
      </c>
      <c r="G241">
        <v>2.9</v>
      </c>
      <c r="H241">
        <v>2.8</v>
      </c>
      <c r="I241">
        <v>4</v>
      </c>
      <c r="J241">
        <v>3</v>
      </c>
      <c r="K241">
        <v>1</v>
      </c>
      <c r="L241">
        <v>999</v>
      </c>
      <c r="M241">
        <v>4</v>
      </c>
    </row>
    <row r="242" spans="1:13">
      <c r="A242">
        <v>29</v>
      </c>
      <c r="B242">
        <v>1</v>
      </c>
      <c r="C242">
        <v>670</v>
      </c>
      <c r="D242">
        <v>91</v>
      </c>
      <c r="E242">
        <v>91</v>
      </c>
      <c r="F242">
        <v>95</v>
      </c>
      <c r="G242">
        <v>3.3</v>
      </c>
      <c r="H242">
        <v>3.25</v>
      </c>
      <c r="I242">
        <v>4</v>
      </c>
      <c r="J242">
        <v>3</v>
      </c>
      <c r="K242">
        <v>1</v>
      </c>
      <c r="L242">
        <v>0</v>
      </c>
      <c r="M242">
        <v>5</v>
      </c>
    </row>
    <row r="243" spans="1:13">
      <c r="A243">
        <v>29</v>
      </c>
      <c r="B243">
        <v>1</v>
      </c>
      <c r="C243">
        <v>630</v>
      </c>
      <c r="D243">
        <v>99</v>
      </c>
      <c r="E243">
        <v>50</v>
      </c>
      <c r="F243">
        <v>89</v>
      </c>
      <c r="G243">
        <v>2.9</v>
      </c>
      <c r="H243">
        <v>3.25</v>
      </c>
      <c r="I243">
        <v>4</v>
      </c>
      <c r="J243">
        <v>1</v>
      </c>
      <c r="K243">
        <v>2</v>
      </c>
      <c r="L243">
        <v>0</v>
      </c>
      <c r="M243">
        <v>4</v>
      </c>
    </row>
    <row r="244" spans="1:13">
      <c r="A244">
        <v>29</v>
      </c>
      <c r="B244">
        <v>2</v>
      </c>
      <c r="C244">
        <v>680</v>
      </c>
      <c r="D244">
        <v>89</v>
      </c>
      <c r="E244">
        <v>96</v>
      </c>
      <c r="F244">
        <v>96</v>
      </c>
      <c r="G244">
        <v>2.8</v>
      </c>
      <c r="H244">
        <v>3</v>
      </c>
      <c r="I244">
        <v>4</v>
      </c>
      <c r="J244">
        <v>4</v>
      </c>
      <c r="K244">
        <v>1</v>
      </c>
      <c r="L244">
        <v>0</v>
      </c>
      <c r="M244">
        <v>5</v>
      </c>
    </row>
    <row r="245" spans="1:13">
      <c r="A245">
        <v>30</v>
      </c>
      <c r="B245">
        <v>1</v>
      </c>
      <c r="C245">
        <v>650</v>
      </c>
      <c r="D245">
        <v>88</v>
      </c>
      <c r="E245">
        <v>92</v>
      </c>
      <c r="F245">
        <v>93</v>
      </c>
      <c r="G245">
        <v>3.45</v>
      </c>
      <c r="H245">
        <v>3.83</v>
      </c>
      <c r="I245">
        <v>4</v>
      </c>
      <c r="J245">
        <v>2</v>
      </c>
      <c r="K245">
        <v>1</v>
      </c>
      <c r="L245">
        <v>0</v>
      </c>
      <c r="M245">
        <v>6</v>
      </c>
    </row>
    <row r="246" spans="1:13">
      <c r="A246">
        <v>30</v>
      </c>
      <c r="B246">
        <v>1</v>
      </c>
      <c r="C246">
        <v>550</v>
      </c>
      <c r="D246">
        <v>79</v>
      </c>
      <c r="E246">
        <v>45</v>
      </c>
      <c r="F246">
        <v>69</v>
      </c>
      <c r="G246">
        <v>2.45</v>
      </c>
      <c r="H246">
        <v>2.75</v>
      </c>
      <c r="I246">
        <v>4</v>
      </c>
      <c r="J246">
        <v>5</v>
      </c>
      <c r="K246">
        <v>2</v>
      </c>
      <c r="L246">
        <v>999</v>
      </c>
      <c r="M246">
        <v>4</v>
      </c>
    </row>
    <row r="247" spans="1:13">
      <c r="A247">
        <v>30</v>
      </c>
      <c r="B247">
        <v>2</v>
      </c>
      <c r="C247">
        <v>600</v>
      </c>
      <c r="D247">
        <v>99</v>
      </c>
      <c r="E247">
        <v>46</v>
      </c>
      <c r="F247">
        <v>86</v>
      </c>
      <c r="G247">
        <v>2.8</v>
      </c>
      <c r="H247">
        <v>3</v>
      </c>
      <c r="I247">
        <v>4</v>
      </c>
      <c r="J247">
        <v>6</v>
      </c>
      <c r="K247">
        <v>2</v>
      </c>
      <c r="L247">
        <v>999</v>
      </c>
      <c r="M247">
        <v>4</v>
      </c>
    </row>
    <row r="248" spans="1:13">
      <c r="A248">
        <v>30</v>
      </c>
      <c r="B248">
        <v>1</v>
      </c>
      <c r="C248">
        <v>630</v>
      </c>
      <c r="D248">
        <v>82</v>
      </c>
      <c r="E248">
        <v>87</v>
      </c>
      <c r="F248">
        <v>89</v>
      </c>
      <c r="G248">
        <v>3.8</v>
      </c>
      <c r="H248">
        <v>3.5</v>
      </c>
      <c r="I248">
        <v>4</v>
      </c>
      <c r="J248">
        <v>7</v>
      </c>
      <c r="K248">
        <v>1</v>
      </c>
      <c r="L248">
        <v>998</v>
      </c>
      <c r="M248">
        <v>998</v>
      </c>
    </row>
    <row r="249" spans="1:13">
      <c r="A249">
        <v>31</v>
      </c>
      <c r="B249">
        <v>1</v>
      </c>
      <c r="C249">
        <v>580</v>
      </c>
      <c r="D249">
        <v>83</v>
      </c>
      <c r="E249">
        <v>67</v>
      </c>
      <c r="F249">
        <v>79</v>
      </c>
      <c r="G249">
        <v>3</v>
      </c>
      <c r="H249">
        <v>3.25</v>
      </c>
      <c r="I249">
        <v>4</v>
      </c>
      <c r="J249">
        <v>6</v>
      </c>
      <c r="K249">
        <v>1</v>
      </c>
      <c r="L249">
        <v>998</v>
      </c>
      <c r="M249">
        <v>998</v>
      </c>
    </row>
    <row r="250" spans="1:13">
      <c r="A250">
        <v>31</v>
      </c>
      <c r="B250">
        <v>1</v>
      </c>
      <c r="C250">
        <v>740</v>
      </c>
      <c r="D250">
        <v>99</v>
      </c>
      <c r="E250">
        <v>98</v>
      </c>
      <c r="F250">
        <v>99</v>
      </c>
      <c r="G250">
        <v>2.2</v>
      </c>
      <c r="H250">
        <v>3</v>
      </c>
      <c r="I250">
        <v>4</v>
      </c>
      <c r="J250">
        <v>8</v>
      </c>
      <c r="K250">
        <v>1</v>
      </c>
      <c r="L250">
        <v>998</v>
      </c>
      <c r="M250">
        <v>998</v>
      </c>
    </row>
    <row r="251" spans="1:13">
      <c r="A251">
        <v>31</v>
      </c>
      <c r="B251">
        <v>1</v>
      </c>
      <c r="C251">
        <v>570</v>
      </c>
      <c r="D251">
        <v>75</v>
      </c>
      <c r="E251">
        <v>62</v>
      </c>
      <c r="F251">
        <v>75</v>
      </c>
      <c r="G251">
        <v>2.8</v>
      </c>
      <c r="H251">
        <v>3</v>
      </c>
      <c r="I251">
        <v>4</v>
      </c>
      <c r="J251">
        <v>1</v>
      </c>
      <c r="K251">
        <v>1</v>
      </c>
      <c r="L251">
        <v>0</v>
      </c>
      <c r="M251">
        <v>6</v>
      </c>
    </row>
    <row r="252" spans="1:13">
      <c r="A252">
        <v>31</v>
      </c>
      <c r="B252">
        <v>1</v>
      </c>
      <c r="C252">
        <v>640</v>
      </c>
      <c r="D252">
        <v>79</v>
      </c>
      <c r="E252">
        <v>92</v>
      </c>
      <c r="F252">
        <v>92</v>
      </c>
      <c r="G252">
        <v>2.7</v>
      </c>
      <c r="H252">
        <v>2.75</v>
      </c>
      <c r="I252">
        <v>4</v>
      </c>
      <c r="J252">
        <v>7</v>
      </c>
      <c r="K252">
        <v>1</v>
      </c>
      <c r="L252">
        <v>999</v>
      </c>
      <c r="M252">
        <v>3</v>
      </c>
    </row>
    <row r="253" spans="1:13">
      <c r="A253">
        <v>32</v>
      </c>
      <c r="B253">
        <v>1</v>
      </c>
      <c r="C253">
        <v>570</v>
      </c>
      <c r="D253">
        <v>89</v>
      </c>
      <c r="E253">
        <v>41</v>
      </c>
      <c r="F253">
        <v>75</v>
      </c>
      <c r="G253">
        <v>2.6</v>
      </c>
      <c r="H253">
        <v>2.5</v>
      </c>
      <c r="I253">
        <v>4</v>
      </c>
      <c r="J253">
        <v>4</v>
      </c>
      <c r="K253">
        <v>2</v>
      </c>
      <c r="L253">
        <v>999</v>
      </c>
      <c r="M253">
        <v>3</v>
      </c>
    </row>
    <row r="254" spans="1:13">
      <c r="A254">
        <v>32</v>
      </c>
      <c r="B254">
        <v>1</v>
      </c>
      <c r="C254">
        <v>510</v>
      </c>
      <c r="D254">
        <v>79</v>
      </c>
      <c r="E254">
        <v>22</v>
      </c>
      <c r="F254">
        <v>54</v>
      </c>
      <c r="G254">
        <v>2.3</v>
      </c>
      <c r="H254">
        <v>2.25</v>
      </c>
      <c r="I254">
        <v>4</v>
      </c>
      <c r="J254">
        <v>5</v>
      </c>
      <c r="K254">
        <v>2</v>
      </c>
      <c r="L254">
        <v>0</v>
      </c>
      <c r="M254">
        <v>5</v>
      </c>
    </row>
    <row r="255" spans="1:13">
      <c r="A255">
        <v>35</v>
      </c>
      <c r="B255">
        <v>1</v>
      </c>
      <c r="C255">
        <v>570</v>
      </c>
      <c r="D255">
        <v>72</v>
      </c>
      <c r="E255">
        <v>71</v>
      </c>
      <c r="F255">
        <v>75</v>
      </c>
      <c r="G255">
        <v>3.3</v>
      </c>
      <c r="H255">
        <v>4</v>
      </c>
      <c r="I255">
        <v>4</v>
      </c>
      <c r="J255">
        <v>8</v>
      </c>
      <c r="K255">
        <v>1</v>
      </c>
      <c r="L255">
        <v>0</v>
      </c>
      <c r="M255">
        <v>6</v>
      </c>
    </row>
    <row r="256" spans="1:13">
      <c r="A256">
        <v>39</v>
      </c>
      <c r="B256">
        <v>2</v>
      </c>
      <c r="C256">
        <v>700</v>
      </c>
      <c r="D256">
        <v>89</v>
      </c>
      <c r="E256">
        <v>98</v>
      </c>
      <c r="F256">
        <v>98</v>
      </c>
      <c r="G256">
        <v>3.3</v>
      </c>
      <c r="H256">
        <v>3.25</v>
      </c>
      <c r="I256">
        <v>4</v>
      </c>
      <c r="J256">
        <v>5</v>
      </c>
      <c r="K256">
        <v>1</v>
      </c>
      <c r="L256">
        <v>0</v>
      </c>
      <c r="M256">
        <v>5</v>
      </c>
    </row>
    <row r="257" spans="1:13">
      <c r="A257">
        <v>24</v>
      </c>
      <c r="B257">
        <v>2</v>
      </c>
      <c r="C257">
        <v>560</v>
      </c>
      <c r="D257">
        <v>55</v>
      </c>
      <c r="E257">
        <v>78</v>
      </c>
      <c r="F257">
        <v>71</v>
      </c>
      <c r="G257">
        <v>3.5</v>
      </c>
      <c r="H257">
        <v>3.25</v>
      </c>
      <c r="I257">
        <v>4</v>
      </c>
      <c r="J257">
        <v>2</v>
      </c>
      <c r="K257">
        <v>1</v>
      </c>
      <c r="L257">
        <v>64000</v>
      </c>
      <c r="M257">
        <v>7</v>
      </c>
    </row>
    <row r="258" spans="1:13">
      <c r="A258">
        <v>23</v>
      </c>
      <c r="B258">
        <v>1</v>
      </c>
      <c r="C258">
        <v>660</v>
      </c>
      <c r="D258">
        <v>81</v>
      </c>
      <c r="E258">
        <v>98</v>
      </c>
      <c r="F258">
        <v>95</v>
      </c>
      <c r="G258">
        <v>2.5</v>
      </c>
      <c r="H258">
        <v>3</v>
      </c>
      <c r="I258">
        <v>4</v>
      </c>
      <c r="J258">
        <v>2</v>
      </c>
      <c r="K258">
        <v>1</v>
      </c>
      <c r="L258">
        <v>77000</v>
      </c>
      <c r="M258">
        <v>6</v>
      </c>
    </row>
    <row r="259" spans="1:13">
      <c r="A259">
        <v>25</v>
      </c>
      <c r="B259">
        <v>2</v>
      </c>
      <c r="C259">
        <v>720</v>
      </c>
      <c r="D259">
        <v>96</v>
      </c>
      <c r="E259">
        <v>98</v>
      </c>
      <c r="F259">
        <v>99</v>
      </c>
      <c r="G259">
        <v>3.5</v>
      </c>
      <c r="H259">
        <v>3.6</v>
      </c>
      <c r="I259">
        <v>4</v>
      </c>
      <c r="J259">
        <v>3</v>
      </c>
      <c r="K259">
        <v>1</v>
      </c>
      <c r="L259">
        <v>85000</v>
      </c>
      <c r="M259">
        <v>6</v>
      </c>
    </row>
    <row r="260" spans="1:13">
      <c r="A260">
        <v>26</v>
      </c>
      <c r="B260">
        <v>1</v>
      </c>
      <c r="C260">
        <v>620</v>
      </c>
      <c r="D260">
        <v>78</v>
      </c>
      <c r="E260">
        <v>87</v>
      </c>
      <c r="F260">
        <v>89</v>
      </c>
      <c r="G260">
        <v>2.4</v>
      </c>
      <c r="H260">
        <v>2</v>
      </c>
      <c r="I260">
        <v>4</v>
      </c>
      <c r="J260">
        <v>2</v>
      </c>
      <c r="K260">
        <v>1</v>
      </c>
      <c r="L260">
        <v>85000</v>
      </c>
      <c r="M260">
        <v>6</v>
      </c>
    </row>
    <row r="261" spans="1:13">
      <c r="A261">
        <v>26</v>
      </c>
      <c r="B261">
        <v>2</v>
      </c>
      <c r="C261">
        <v>630</v>
      </c>
      <c r="D261">
        <v>85</v>
      </c>
      <c r="E261">
        <v>81</v>
      </c>
      <c r="F261">
        <v>90</v>
      </c>
      <c r="G261">
        <v>2.9</v>
      </c>
      <c r="H261">
        <v>3.25</v>
      </c>
      <c r="I261">
        <v>4</v>
      </c>
      <c r="J261">
        <v>3</v>
      </c>
      <c r="K261">
        <v>1</v>
      </c>
      <c r="L261">
        <v>86000</v>
      </c>
      <c r="M261">
        <v>5</v>
      </c>
    </row>
    <row r="262" spans="1:13">
      <c r="A262">
        <v>27</v>
      </c>
      <c r="B262">
        <v>1</v>
      </c>
      <c r="C262">
        <v>650</v>
      </c>
      <c r="D262">
        <v>89</v>
      </c>
      <c r="E262">
        <v>89</v>
      </c>
      <c r="F262">
        <v>93</v>
      </c>
      <c r="G262">
        <v>2.4</v>
      </c>
      <c r="H262">
        <v>2.25</v>
      </c>
      <c r="I262">
        <v>4</v>
      </c>
      <c r="J262">
        <v>5</v>
      </c>
      <c r="K262">
        <v>1</v>
      </c>
      <c r="L262">
        <v>90000</v>
      </c>
      <c r="M262">
        <v>5</v>
      </c>
    </row>
    <row r="263" spans="1:13">
      <c r="A263">
        <v>25</v>
      </c>
      <c r="B263">
        <v>1</v>
      </c>
      <c r="C263">
        <v>660</v>
      </c>
      <c r="D263">
        <v>99</v>
      </c>
      <c r="E263">
        <v>71</v>
      </c>
      <c r="F263">
        <v>95</v>
      </c>
      <c r="G263">
        <v>3.4</v>
      </c>
      <c r="H263">
        <v>3.25</v>
      </c>
      <c r="I263">
        <v>4</v>
      </c>
      <c r="J263">
        <v>2</v>
      </c>
      <c r="K263">
        <v>1</v>
      </c>
      <c r="L263">
        <v>92000</v>
      </c>
      <c r="M263">
        <v>7</v>
      </c>
    </row>
    <row r="264" spans="1:13">
      <c r="A264">
        <v>25</v>
      </c>
      <c r="B264">
        <v>1</v>
      </c>
      <c r="C264">
        <v>610</v>
      </c>
      <c r="D264">
        <v>83</v>
      </c>
      <c r="E264">
        <v>81</v>
      </c>
      <c r="F264">
        <v>86</v>
      </c>
      <c r="G264">
        <v>2.4</v>
      </c>
      <c r="H264">
        <v>2.75</v>
      </c>
      <c r="I264">
        <v>4</v>
      </c>
      <c r="J264">
        <v>2</v>
      </c>
      <c r="K264">
        <v>1</v>
      </c>
      <c r="L264">
        <v>95000</v>
      </c>
      <c r="M264">
        <v>7</v>
      </c>
    </row>
    <row r="265" spans="1:13">
      <c r="A265">
        <v>26</v>
      </c>
      <c r="B265">
        <v>1</v>
      </c>
      <c r="C265">
        <v>600</v>
      </c>
      <c r="D265">
        <v>87</v>
      </c>
      <c r="E265">
        <v>62</v>
      </c>
      <c r="F265">
        <v>83</v>
      </c>
      <c r="G265">
        <v>2.5</v>
      </c>
      <c r="H265">
        <v>2.5</v>
      </c>
      <c r="I265">
        <v>4</v>
      </c>
      <c r="J265">
        <v>2</v>
      </c>
      <c r="K265">
        <v>1</v>
      </c>
      <c r="L265">
        <v>96000</v>
      </c>
      <c r="M265">
        <v>6</v>
      </c>
    </row>
    <row r="266" spans="1:13">
      <c r="A266">
        <v>24</v>
      </c>
      <c r="B266">
        <v>1</v>
      </c>
      <c r="C266">
        <v>570</v>
      </c>
      <c r="D266">
        <v>75</v>
      </c>
      <c r="E266">
        <v>62</v>
      </c>
      <c r="F266">
        <v>75</v>
      </c>
      <c r="G266">
        <v>2.3</v>
      </c>
      <c r="H266">
        <v>2.5</v>
      </c>
      <c r="I266">
        <v>4</v>
      </c>
      <c r="J266">
        <v>2</v>
      </c>
      <c r="K266">
        <v>1</v>
      </c>
      <c r="L266">
        <v>98000</v>
      </c>
      <c r="M266">
        <v>6</v>
      </c>
    </row>
    <row r="267" spans="1:13">
      <c r="A267">
        <v>24</v>
      </c>
      <c r="B267">
        <v>2</v>
      </c>
      <c r="C267">
        <v>600</v>
      </c>
      <c r="D267">
        <v>77</v>
      </c>
      <c r="E267">
        <v>78</v>
      </c>
      <c r="F267">
        <v>84</v>
      </c>
      <c r="G267">
        <v>2.6</v>
      </c>
      <c r="H267">
        <v>3</v>
      </c>
      <c r="I267">
        <v>4</v>
      </c>
      <c r="J267">
        <v>2</v>
      </c>
      <c r="K267">
        <v>1</v>
      </c>
      <c r="L267">
        <v>100000</v>
      </c>
      <c r="M267">
        <v>6</v>
      </c>
    </row>
    <row r="268" spans="1:13">
      <c r="A268">
        <v>26</v>
      </c>
      <c r="B268">
        <v>2</v>
      </c>
      <c r="C268">
        <v>650</v>
      </c>
      <c r="D268">
        <v>91</v>
      </c>
      <c r="E268">
        <v>84</v>
      </c>
      <c r="F268">
        <v>93</v>
      </c>
      <c r="G268">
        <v>2.6</v>
      </c>
      <c r="H268">
        <v>3</v>
      </c>
      <c r="I268">
        <v>4</v>
      </c>
      <c r="J268">
        <v>2</v>
      </c>
      <c r="K268">
        <v>1</v>
      </c>
      <c r="L268">
        <v>100000</v>
      </c>
      <c r="M268">
        <v>7</v>
      </c>
    </row>
    <row r="269" spans="1:13">
      <c r="A269">
        <v>29</v>
      </c>
      <c r="B269">
        <v>1</v>
      </c>
      <c r="C269">
        <v>630</v>
      </c>
      <c r="D269">
        <v>72</v>
      </c>
      <c r="E269">
        <v>95</v>
      </c>
      <c r="F269">
        <v>89</v>
      </c>
      <c r="G269">
        <v>2.6</v>
      </c>
      <c r="H269">
        <v>2.5</v>
      </c>
      <c r="I269">
        <v>4</v>
      </c>
      <c r="J269">
        <v>3</v>
      </c>
      <c r="K269">
        <v>1</v>
      </c>
      <c r="L269">
        <v>100400</v>
      </c>
      <c r="M269">
        <v>7</v>
      </c>
    </row>
    <row r="270" spans="1:13">
      <c r="A270">
        <v>26</v>
      </c>
      <c r="B270">
        <v>1</v>
      </c>
      <c r="C270">
        <v>630</v>
      </c>
      <c r="D270">
        <v>96</v>
      </c>
      <c r="E270">
        <v>71</v>
      </c>
      <c r="F270">
        <v>91</v>
      </c>
      <c r="G270">
        <v>2.6</v>
      </c>
      <c r="H270">
        <v>2.75</v>
      </c>
      <c r="I270">
        <v>4</v>
      </c>
      <c r="J270">
        <v>3</v>
      </c>
      <c r="K270">
        <v>1</v>
      </c>
      <c r="L270">
        <v>101600</v>
      </c>
      <c r="M270">
        <v>6</v>
      </c>
    </row>
    <row r="271" spans="1:13">
      <c r="A271">
        <v>31</v>
      </c>
      <c r="B271">
        <v>1</v>
      </c>
      <c r="C271">
        <v>530</v>
      </c>
      <c r="D271">
        <v>75</v>
      </c>
      <c r="E271">
        <v>45</v>
      </c>
      <c r="F271">
        <v>62</v>
      </c>
      <c r="G271">
        <v>2.4</v>
      </c>
      <c r="H271">
        <v>2.75</v>
      </c>
      <c r="I271">
        <v>4</v>
      </c>
      <c r="J271">
        <v>4</v>
      </c>
      <c r="K271">
        <v>2</v>
      </c>
      <c r="L271">
        <v>104000</v>
      </c>
      <c r="M271">
        <v>6</v>
      </c>
    </row>
    <row r="272" spans="1:13">
      <c r="A272">
        <v>23</v>
      </c>
      <c r="B272">
        <v>1</v>
      </c>
      <c r="C272">
        <v>580</v>
      </c>
      <c r="D272">
        <v>64</v>
      </c>
      <c r="E272">
        <v>81</v>
      </c>
      <c r="F272">
        <v>78</v>
      </c>
      <c r="G272">
        <v>2.2</v>
      </c>
      <c r="H272">
        <v>2</v>
      </c>
      <c r="I272">
        <v>4</v>
      </c>
      <c r="J272">
        <v>2</v>
      </c>
      <c r="K272">
        <v>1</v>
      </c>
      <c r="L272">
        <v>105000</v>
      </c>
      <c r="M272">
        <v>6</v>
      </c>
    </row>
    <row r="273" spans="1:13">
      <c r="A273">
        <v>25</v>
      </c>
      <c r="B273">
        <v>1</v>
      </c>
      <c r="C273">
        <v>540</v>
      </c>
      <c r="D273">
        <v>79</v>
      </c>
      <c r="E273">
        <v>45</v>
      </c>
      <c r="F273">
        <v>65</v>
      </c>
      <c r="G273">
        <v>2.6</v>
      </c>
      <c r="H273">
        <v>2.5</v>
      </c>
      <c r="I273">
        <v>4</v>
      </c>
      <c r="J273">
        <v>3</v>
      </c>
      <c r="K273">
        <v>1</v>
      </c>
      <c r="L273">
        <v>115000</v>
      </c>
      <c r="M273">
        <v>5</v>
      </c>
    </row>
    <row r="274" spans="1:13">
      <c r="A274">
        <v>26</v>
      </c>
      <c r="B274">
        <v>1</v>
      </c>
      <c r="C274">
        <v>550</v>
      </c>
      <c r="D274">
        <v>72</v>
      </c>
      <c r="E274">
        <v>58</v>
      </c>
      <c r="F274">
        <v>69</v>
      </c>
      <c r="G274">
        <v>2.6</v>
      </c>
      <c r="H274">
        <v>2.75</v>
      </c>
      <c r="I274">
        <v>4</v>
      </c>
      <c r="J274">
        <v>3</v>
      </c>
      <c r="K274">
        <v>1</v>
      </c>
      <c r="L274">
        <v>126710</v>
      </c>
      <c r="M274">
        <v>6</v>
      </c>
    </row>
    <row r="275" spans="1:13">
      <c r="A275">
        <v>40</v>
      </c>
      <c r="B275">
        <v>2</v>
      </c>
      <c r="C275">
        <v>500</v>
      </c>
      <c r="D275">
        <v>60</v>
      </c>
      <c r="E275">
        <v>45</v>
      </c>
      <c r="F275">
        <v>51</v>
      </c>
      <c r="G275">
        <v>2.5</v>
      </c>
      <c r="H275">
        <v>2.75</v>
      </c>
      <c r="I275">
        <v>4</v>
      </c>
      <c r="J275">
        <v>15</v>
      </c>
      <c r="K275">
        <v>2</v>
      </c>
      <c r="L275">
        <v>220000</v>
      </c>
      <c r="M275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5"/>
  <sheetViews>
    <sheetView workbookViewId="0">
      <selection activeCell="D12" sqref="D12:F20"/>
    </sheetView>
  </sheetViews>
  <sheetFormatPr defaultColWidth="8.88888888888889" defaultRowHeight="14.4" outlineLevelCol="5"/>
  <cols>
    <col min="1" max="1" width="10"/>
    <col min="2" max="2" width="19.7777777777778" customWidth="1"/>
    <col min="3" max="3" width="32.6666666666667" customWidth="1"/>
    <col min="4" max="4" width="18.6666666666667" customWidth="1"/>
    <col min="6" max="6" width="26" customWidth="1"/>
  </cols>
  <sheetData>
    <row r="1" spans="1:6">
      <c r="A1" t="s">
        <v>11</v>
      </c>
      <c r="B1" s="13" t="s">
        <v>13</v>
      </c>
      <c r="C1" s="13"/>
      <c r="D1" s="13"/>
      <c r="E1" s="13"/>
      <c r="F1" s="13"/>
    </row>
    <row r="2" spans="1:2">
      <c r="A2">
        <v>0</v>
      </c>
      <c r="B2">
        <v>64000</v>
      </c>
    </row>
    <row r="3" spans="1:2">
      <c r="A3">
        <v>0</v>
      </c>
      <c r="B3">
        <v>77000</v>
      </c>
    </row>
    <row r="4" spans="1:2">
      <c r="A4">
        <v>0</v>
      </c>
      <c r="B4">
        <v>78256</v>
      </c>
    </row>
    <row r="5" spans="1:2">
      <c r="A5">
        <v>0</v>
      </c>
      <c r="B5">
        <v>82000</v>
      </c>
    </row>
    <row r="6" spans="1:2">
      <c r="A6">
        <v>0</v>
      </c>
      <c r="B6">
        <v>85000</v>
      </c>
    </row>
    <row r="7" spans="1:2">
      <c r="A7">
        <v>0</v>
      </c>
      <c r="B7">
        <v>85000</v>
      </c>
    </row>
    <row r="8" spans="1:2">
      <c r="A8">
        <v>0</v>
      </c>
      <c r="B8">
        <v>85000</v>
      </c>
    </row>
    <row r="9" spans="1:2">
      <c r="A9">
        <v>0</v>
      </c>
      <c r="B9">
        <v>85000</v>
      </c>
    </row>
    <row r="10" spans="1:2">
      <c r="A10">
        <v>0</v>
      </c>
      <c r="B10">
        <v>86000</v>
      </c>
    </row>
    <row r="11" spans="1:2">
      <c r="A11">
        <v>0</v>
      </c>
      <c r="B11">
        <v>86000</v>
      </c>
    </row>
    <row r="12" spans="1:6">
      <c r="A12">
        <v>0</v>
      </c>
      <c r="B12">
        <v>88000</v>
      </c>
      <c r="C12" s="1" t="s">
        <v>14</v>
      </c>
      <c r="D12" s="3" t="s">
        <v>15</v>
      </c>
      <c r="E12" s="4"/>
      <c r="F12" s="5" t="s">
        <v>16</v>
      </c>
    </row>
    <row r="13" spans="1:6">
      <c r="A13">
        <v>0</v>
      </c>
      <c r="B13">
        <v>88500</v>
      </c>
      <c r="C13">
        <f>ROUND(1+3.322*LOG(103,10),0)</f>
        <v>8</v>
      </c>
      <c r="D13" s="4" t="s">
        <v>17</v>
      </c>
      <c r="E13" s="4">
        <v>83500</v>
      </c>
      <c r="F13" s="6" cm="1">
        <f t="array" ref="F13:F21">FREQUENCY(B2:B104,E13:E20)</f>
        <v>4</v>
      </c>
    </row>
    <row r="14" spans="1:6">
      <c r="A14">
        <v>0</v>
      </c>
      <c r="B14">
        <v>90000</v>
      </c>
      <c r="D14" s="4" t="s">
        <v>18</v>
      </c>
      <c r="E14" s="4">
        <v>10300</v>
      </c>
      <c r="F14" s="6">
        <v>0</v>
      </c>
    </row>
    <row r="15" spans="1:6">
      <c r="A15">
        <v>0</v>
      </c>
      <c r="B15">
        <v>90000</v>
      </c>
      <c r="C15" s="1" t="s">
        <v>19</v>
      </c>
      <c r="D15" s="4" t="s">
        <v>20</v>
      </c>
      <c r="E15" s="4">
        <v>122500</v>
      </c>
      <c r="F15" s="6">
        <v>93</v>
      </c>
    </row>
    <row r="16" spans="1:6">
      <c r="A16">
        <v>0</v>
      </c>
      <c r="B16">
        <v>90000</v>
      </c>
      <c r="C16">
        <f>ROUND((220000-64000)/C13,0)</f>
        <v>19500</v>
      </c>
      <c r="D16" s="4" t="s">
        <v>21</v>
      </c>
      <c r="E16" s="4">
        <v>142000</v>
      </c>
      <c r="F16" s="6">
        <v>2</v>
      </c>
    </row>
    <row r="17" spans="1:6">
      <c r="A17">
        <v>0</v>
      </c>
      <c r="B17">
        <v>92000</v>
      </c>
      <c r="D17" s="4" t="s">
        <v>22</v>
      </c>
      <c r="E17" s="4">
        <v>161500</v>
      </c>
      <c r="F17" s="6">
        <v>2</v>
      </c>
    </row>
    <row r="18" spans="1:6">
      <c r="A18">
        <v>0</v>
      </c>
      <c r="B18">
        <v>92000</v>
      </c>
      <c r="D18" s="4" t="s">
        <v>23</v>
      </c>
      <c r="E18" s="4">
        <v>181000</v>
      </c>
      <c r="F18" s="6">
        <v>1</v>
      </c>
    </row>
    <row r="19" spans="1:6">
      <c r="A19">
        <v>0</v>
      </c>
      <c r="B19">
        <v>92000</v>
      </c>
      <c r="D19" s="4" t="s">
        <v>24</v>
      </c>
      <c r="E19" s="4">
        <v>200500</v>
      </c>
      <c r="F19" s="6">
        <v>0</v>
      </c>
    </row>
    <row r="20" spans="1:6">
      <c r="A20">
        <v>0</v>
      </c>
      <c r="B20">
        <v>93000</v>
      </c>
      <c r="C20" s="1" t="s">
        <v>25</v>
      </c>
      <c r="D20" s="4" t="s">
        <v>26</v>
      </c>
      <c r="E20" s="4">
        <v>220000</v>
      </c>
      <c r="F20" s="6">
        <v>1</v>
      </c>
    </row>
    <row r="21" spans="1:6">
      <c r="A21">
        <v>0</v>
      </c>
      <c r="B21">
        <v>93000</v>
      </c>
      <c r="F21">
        <v>0</v>
      </c>
    </row>
    <row r="22" spans="1:2">
      <c r="A22">
        <v>0</v>
      </c>
      <c r="B22">
        <v>93000</v>
      </c>
    </row>
    <row r="23" spans="1:2">
      <c r="A23">
        <v>0</v>
      </c>
      <c r="B23">
        <v>95000</v>
      </c>
    </row>
    <row r="24" spans="1:2">
      <c r="A24">
        <v>0</v>
      </c>
      <c r="B24">
        <v>95000</v>
      </c>
    </row>
    <row r="25" spans="1:2">
      <c r="A25">
        <v>0</v>
      </c>
      <c r="B25">
        <v>95000</v>
      </c>
    </row>
    <row r="26" spans="1:2">
      <c r="A26">
        <v>0</v>
      </c>
      <c r="B26">
        <v>95000</v>
      </c>
    </row>
    <row r="27" spans="1:2">
      <c r="A27">
        <v>0</v>
      </c>
      <c r="B27">
        <v>95000</v>
      </c>
    </row>
    <row r="28" spans="1:2">
      <c r="A28">
        <v>0</v>
      </c>
      <c r="B28">
        <v>95000</v>
      </c>
    </row>
    <row r="29" spans="1:2">
      <c r="A29">
        <v>0</v>
      </c>
      <c r="B29">
        <v>95000</v>
      </c>
    </row>
    <row r="30" spans="1:2">
      <c r="A30">
        <v>0</v>
      </c>
      <c r="B30">
        <v>96000</v>
      </c>
    </row>
    <row r="31" spans="1:2">
      <c r="A31">
        <v>0</v>
      </c>
      <c r="B31">
        <v>96000</v>
      </c>
    </row>
    <row r="32" spans="1:2">
      <c r="A32">
        <v>0</v>
      </c>
      <c r="B32">
        <v>96000</v>
      </c>
    </row>
    <row r="33" spans="1:2">
      <c r="A33">
        <v>0</v>
      </c>
      <c r="B33">
        <v>96000</v>
      </c>
    </row>
    <row r="34" spans="1:2">
      <c r="A34">
        <v>0</v>
      </c>
      <c r="B34">
        <v>96500</v>
      </c>
    </row>
    <row r="35" spans="1:2">
      <c r="A35">
        <v>0</v>
      </c>
      <c r="B35">
        <v>97000</v>
      </c>
    </row>
    <row r="36" spans="1:2">
      <c r="A36">
        <v>0</v>
      </c>
      <c r="B36">
        <v>97000</v>
      </c>
    </row>
    <row r="37" spans="1:2">
      <c r="A37">
        <v>0</v>
      </c>
      <c r="B37">
        <v>98000</v>
      </c>
    </row>
    <row r="38" spans="1:2">
      <c r="A38">
        <v>0</v>
      </c>
      <c r="B38">
        <v>98000</v>
      </c>
    </row>
    <row r="39" spans="1:2">
      <c r="A39">
        <v>0</v>
      </c>
      <c r="B39">
        <v>98000</v>
      </c>
    </row>
    <row r="40" spans="1:2">
      <c r="A40">
        <v>0</v>
      </c>
      <c r="B40">
        <v>98000</v>
      </c>
    </row>
    <row r="41" spans="1:2">
      <c r="A41">
        <v>0</v>
      </c>
      <c r="B41">
        <v>98000</v>
      </c>
    </row>
    <row r="42" spans="1:2">
      <c r="A42">
        <v>0</v>
      </c>
      <c r="B42">
        <v>98000</v>
      </c>
    </row>
    <row r="43" spans="1:2">
      <c r="A43">
        <v>0</v>
      </c>
      <c r="B43">
        <v>98000</v>
      </c>
    </row>
    <row r="44" spans="1:2">
      <c r="A44">
        <v>0</v>
      </c>
      <c r="B44">
        <v>98000</v>
      </c>
    </row>
    <row r="45" spans="1:2">
      <c r="A45">
        <v>0</v>
      </c>
      <c r="B45">
        <v>98000</v>
      </c>
    </row>
    <row r="46" spans="1:2">
      <c r="A46">
        <v>0</v>
      </c>
      <c r="B46">
        <v>98000</v>
      </c>
    </row>
    <row r="47" spans="1:2">
      <c r="A47">
        <v>0</v>
      </c>
      <c r="B47">
        <v>99000</v>
      </c>
    </row>
    <row r="48" spans="1:2">
      <c r="A48">
        <v>0</v>
      </c>
      <c r="B48">
        <v>100000</v>
      </c>
    </row>
    <row r="49" spans="1:2">
      <c r="A49">
        <v>0</v>
      </c>
      <c r="B49">
        <v>100000</v>
      </c>
    </row>
    <row r="50" spans="1:2">
      <c r="A50">
        <v>0</v>
      </c>
      <c r="B50">
        <v>100000</v>
      </c>
    </row>
    <row r="51" spans="1:2">
      <c r="A51">
        <v>0</v>
      </c>
      <c r="B51">
        <v>100000</v>
      </c>
    </row>
    <row r="52" spans="1:2">
      <c r="A52">
        <v>0</v>
      </c>
      <c r="B52">
        <v>100000</v>
      </c>
    </row>
    <row r="53" spans="1:2">
      <c r="A53">
        <v>0</v>
      </c>
      <c r="B53">
        <v>100000</v>
      </c>
    </row>
    <row r="54" spans="1:2">
      <c r="A54">
        <v>0</v>
      </c>
      <c r="B54">
        <v>100000</v>
      </c>
    </row>
    <row r="55" spans="1:2">
      <c r="A55">
        <v>0</v>
      </c>
      <c r="B55">
        <v>100000</v>
      </c>
    </row>
    <row r="56" spans="1:2">
      <c r="A56">
        <v>0</v>
      </c>
      <c r="B56">
        <v>100000</v>
      </c>
    </row>
    <row r="57" spans="1:2">
      <c r="A57">
        <v>0</v>
      </c>
      <c r="B57">
        <v>100400</v>
      </c>
    </row>
    <row r="58" spans="1:2">
      <c r="A58">
        <v>0</v>
      </c>
      <c r="B58">
        <v>101000</v>
      </c>
    </row>
    <row r="59" spans="1:2">
      <c r="A59">
        <v>0</v>
      </c>
      <c r="B59">
        <v>101000</v>
      </c>
    </row>
    <row r="60" spans="1:2">
      <c r="A60">
        <v>0</v>
      </c>
      <c r="B60">
        <v>101100</v>
      </c>
    </row>
    <row r="61" spans="1:2">
      <c r="A61">
        <v>0</v>
      </c>
      <c r="B61">
        <v>101600</v>
      </c>
    </row>
    <row r="62" spans="1:2">
      <c r="A62">
        <v>0</v>
      </c>
      <c r="B62">
        <v>102500</v>
      </c>
    </row>
    <row r="63" spans="1:2">
      <c r="A63">
        <v>0</v>
      </c>
      <c r="B63">
        <v>103000</v>
      </c>
    </row>
    <row r="64" spans="1:2">
      <c r="A64">
        <v>0</v>
      </c>
      <c r="B64">
        <v>104000</v>
      </c>
    </row>
    <row r="65" spans="1:2">
      <c r="A65">
        <v>0</v>
      </c>
      <c r="B65">
        <v>104000</v>
      </c>
    </row>
    <row r="66" spans="1:2">
      <c r="A66">
        <v>0</v>
      </c>
      <c r="B66">
        <v>105000</v>
      </c>
    </row>
    <row r="67" spans="1:2">
      <c r="A67">
        <v>0</v>
      </c>
      <c r="B67">
        <v>105000</v>
      </c>
    </row>
    <row r="68" spans="1:2">
      <c r="A68">
        <v>0</v>
      </c>
      <c r="B68">
        <v>105000</v>
      </c>
    </row>
    <row r="69" spans="1:2">
      <c r="A69">
        <v>0</v>
      </c>
      <c r="B69">
        <v>105000</v>
      </c>
    </row>
    <row r="70" spans="1:2">
      <c r="A70">
        <v>0</v>
      </c>
      <c r="B70">
        <v>105000</v>
      </c>
    </row>
    <row r="71" spans="1:2">
      <c r="A71">
        <v>0</v>
      </c>
      <c r="B71">
        <v>105000</v>
      </c>
    </row>
    <row r="72" spans="1:2">
      <c r="A72">
        <v>0</v>
      </c>
      <c r="B72">
        <v>105000</v>
      </c>
    </row>
    <row r="73" spans="1:2">
      <c r="A73">
        <v>0</v>
      </c>
      <c r="B73">
        <v>105000</v>
      </c>
    </row>
    <row r="74" spans="1:2">
      <c r="A74">
        <v>0</v>
      </c>
      <c r="B74">
        <v>105000</v>
      </c>
    </row>
    <row r="75" spans="1:2">
      <c r="A75">
        <v>0</v>
      </c>
      <c r="B75">
        <v>105000</v>
      </c>
    </row>
    <row r="76" spans="1:2">
      <c r="A76">
        <v>0</v>
      </c>
      <c r="B76">
        <v>105000</v>
      </c>
    </row>
    <row r="77" spans="1:2">
      <c r="A77">
        <v>0</v>
      </c>
      <c r="B77">
        <v>106000</v>
      </c>
    </row>
    <row r="78" spans="1:2">
      <c r="A78">
        <v>0</v>
      </c>
      <c r="B78">
        <v>106000</v>
      </c>
    </row>
    <row r="79" spans="1:2">
      <c r="A79">
        <v>0</v>
      </c>
      <c r="B79">
        <v>106000</v>
      </c>
    </row>
    <row r="80" spans="1:2">
      <c r="A80">
        <v>0</v>
      </c>
      <c r="B80">
        <v>107000</v>
      </c>
    </row>
    <row r="81" spans="1:2">
      <c r="A81">
        <v>0</v>
      </c>
      <c r="B81">
        <v>107300</v>
      </c>
    </row>
    <row r="82" spans="1:2">
      <c r="A82">
        <v>0</v>
      </c>
      <c r="B82">
        <v>107500</v>
      </c>
    </row>
    <row r="83" spans="1:2">
      <c r="A83">
        <v>0</v>
      </c>
      <c r="B83">
        <v>108000</v>
      </c>
    </row>
    <row r="84" spans="1:2">
      <c r="A84">
        <v>0</v>
      </c>
      <c r="B84">
        <v>108000</v>
      </c>
    </row>
    <row r="85" spans="1:2">
      <c r="A85">
        <v>0</v>
      </c>
      <c r="B85">
        <v>110000</v>
      </c>
    </row>
    <row r="86" spans="1:2">
      <c r="A86">
        <v>0</v>
      </c>
      <c r="B86">
        <v>112000</v>
      </c>
    </row>
    <row r="87" spans="1:2">
      <c r="A87">
        <v>0</v>
      </c>
      <c r="B87">
        <v>112000</v>
      </c>
    </row>
    <row r="88" spans="1:2">
      <c r="A88">
        <v>0</v>
      </c>
      <c r="B88">
        <v>112000</v>
      </c>
    </row>
    <row r="89" spans="1:2">
      <c r="A89">
        <v>0</v>
      </c>
      <c r="B89">
        <v>115000</v>
      </c>
    </row>
    <row r="90" spans="1:2">
      <c r="A90">
        <v>0</v>
      </c>
      <c r="B90">
        <v>115000</v>
      </c>
    </row>
    <row r="91" spans="1:2">
      <c r="A91">
        <v>0</v>
      </c>
      <c r="B91">
        <v>115000</v>
      </c>
    </row>
    <row r="92" spans="1:2">
      <c r="A92">
        <v>998</v>
      </c>
      <c r="B92">
        <v>115000</v>
      </c>
    </row>
    <row r="93" spans="1:2">
      <c r="A93">
        <v>998</v>
      </c>
      <c r="B93">
        <v>115000</v>
      </c>
    </row>
    <row r="94" spans="1:2">
      <c r="A94">
        <v>998</v>
      </c>
      <c r="B94">
        <v>118000</v>
      </c>
    </row>
    <row r="95" spans="1:2">
      <c r="A95">
        <v>998</v>
      </c>
      <c r="B95">
        <v>120000</v>
      </c>
    </row>
    <row r="96" spans="1:2">
      <c r="A96">
        <v>998</v>
      </c>
      <c r="B96">
        <v>120000</v>
      </c>
    </row>
    <row r="97" spans="1:2">
      <c r="A97">
        <v>998</v>
      </c>
      <c r="B97">
        <v>120000</v>
      </c>
    </row>
    <row r="98" spans="1:2">
      <c r="A98">
        <v>998</v>
      </c>
      <c r="B98">
        <v>120000</v>
      </c>
    </row>
    <row r="99" spans="1:2">
      <c r="A99">
        <v>998</v>
      </c>
      <c r="B99">
        <v>126710</v>
      </c>
    </row>
    <row r="100" spans="1:2">
      <c r="A100">
        <v>998</v>
      </c>
      <c r="B100">
        <v>130000</v>
      </c>
    </row>
    <row r="101" spans="1:2">
      <c r="A101">
        <v>998</v>
      </c>
      <c r="B101">
        <v>145800</v>
      </c>
    </row>
    <row r="102" spans="1:2">
      <c r="A102">
        <v>998</v>
      </c>
      <c r="B102">
        <v>146000</v>
      </c>
    </row>
    <row r="103" spans="1:2">
      <c r="A103">
        <v>998</v>
      </c>
      <c r="B103">
        <v>162000</v>
      </c>
    </row>
    <row r="104" spans="1:2">
      <c r="A104">
        <v>998</v>
      </c>
      <c r="B104">
        <v>220000</v>
      </c>
    </row>
    <row r="105" spans="1:1">
      <c r="A105">
        <v>998</v>
      </c>
    </row>
    <row r="106" spans="1:1">
      <c r="A106">
        <v>998</v>
      </c>
    </row>
    <row r="107" spans="1:1">
      <c r="A107">
        <v>998</v>
      </c>
    </row>
    <row r="108" spans="1:1">
      <c r="A108">
        <v>998</v>
      </c>
    </row>
    <row r="109" spans="1:1">
      <c r="A109">
        <v>998</v>
      </c>
    </row>
    <row r="110" spans="1:1">
      <c r="A110">
        <v>998</v>
      </c>
    </row>
    <row r="111" spans="1:1">
      <c r="A111">
        <v>998</v>
      </c>
    </row>
    <row r="112" spans="1:1">
      <c r="A112">
        <v>998</v>
      </c>
    </row>
    <row r="113" spans="1:1">
      <c r="A113">
        <v>998</v>
      </c>
    </row>
    <row r="114" spans="1:1">
      <c r="A114">
        <v>998</v>
      </c>
    </row>
    <row r="115" spans="1:1">
      <c r="A115">
        <v>998</v>
      </c>
    </row>
    <row r="116" spans="1:1">
      <c r="A116">
        <v>998</v>
      </c>
    </row>
    <row r="117" spans="1:1">
      <c r="A117">
        <v>998</v>
      </c>
    </row>
    <row r="118" spans="1:1">
      <c r="A118">
        <v>998</v>
      </c>
    </row>
    <row r="119" spans="1:1">
      <c r="A119">
        <v>998</v>
      </c>
    </row>
    <row r="120" spans="1:1">
      <c r="A120">
        <v>998</v>
      </c>
    </row>
    <row r="121" spans="1:1">
      <c r="A121">
        <v>998</v>
      </c>
    </row>
    <row r="122" spans="1:1">
      <c r="A122">
        <v>998</v>
      </c>
    </row>
    <row r="123" spans="1:1">
      <c r="A123">
        <v>998</v>
      </c>
    </row>
    <row r="124" spans="1:1">
      <c r="A124">
        <v>998</v>
      </c>
    </row>
    <row r="125" spans="1:1">
      <c r="A125">
        <v>998</v>
      </c>
    </row>
    <row r="126" spans="1:1">
      <c r="A126">
        <v>998</v>
      </c>
    </row>
    <row r="127" spans="1:1">
      <c r="A127">
        <v>998</v>
      </c>
    </row>
    <row r="128" spans="1:1">
      <c r="A128">
        <v>998</v>
      </c>
    </row>
    <row r="129" spans="1:1">
      <c r="A129">
        <v>998</v>
      </c>
    </row>
    <row r="130" spans="1:1">
      <c r="A130">
        <v>998</v>
      </c>
    </row>
    <row r="131" spans="1:1">
      <c r="A131">
        <v>998</v>
      </c>
    </row>
    <row r="132" spans="1:1">
      <c r="A132">
        <v>998</v>
      </c>
    </row>
    <row r="133" spans="1:1">
      <c r="A133">
        <v>998</v>
      </c>
    </row>
    <row r="134" spans="1:1">
      <c r="A134">
        <v>998</v>
      </c>
    </row>
    <row r="135" spans="1:1">
      <c r="A135">
        <v>998</v>
      </c>
    </row>
    <row r="136" spans="1:1">
      <c r="A136">
        <v>998</v>
      </c>
    </row>
    <row r="137" spans="1:1">
      <c r="A137">
        <v>998</v>
      </c>
    </row>
    <row r="138" spans="1:1">
      <c r="A138">
        <v>999</v>
      </c>
    </row>
    <row r="139" spans="1:1">
      <c r="A139">
        <v>999</v>
      </c>
    </row>
    <row r="140" spans="1:1">
      <c r="A140">
        <v>999</v>
      </c>
    </row>
    <row r="141" spans="1:1">
      <c r="A141">
        <v>999</v>
      </c>
    </row>
    <row r="142" spans="1:1">
      <c r="A142">
        <v>999</v>
      </c>
    </row>
    <row r="143" spans="1:1">
      <c r="A143">
        <v>999</v>
      </c>
    </row>
    <row r="144" spans="1:1">
      <c r="A144">
        <v>999</v>
      </c>
    </row>
    <row r="145" spans="1:1">
      <c r="A145">
        <v>999</v>
      </c>
    </row>
    <row r="146" spans="1:1">
      <c r="A146">
        <v>999</v>
      </c>
    </row>
    <row r="147" spans="1:1">
      <c r="A147">
        <v>999</v>
      </c>
    </row>
    <row r="148" spans="1:1">
      <c r="A148">
        <v>999</v>
      </c>
    </row>
    <row r="149" spans="1:1">
      <c r="A149">
        <v>999</v>
      </c>
    </row>
    <row r="150" spans="1:1">
      <c r="A150">
        <v>999</v>
      </c>
    </row>
    <row r="151" spans="1:1">
      <c r="A151">
        <v>999</v>
      </c>
    </row>
    <row r="152" spans="1:1">
      <c r="A152">
        <v>999</v>
      </c>
    </row>
    <row r="153" spans="1:1">
      <c r="A153">
        <v>999</v>
      </c>
    </row>
    <row r="154" spans="1:1">
      <c r="A154">
        <v>999</v>
      </c>
    </row>
    <row r="155" spans="1:1">
      <c r="A155">
        <v>999</v>
      </c>
    </row>
    <row r="156" spans="1:1">
      <c r="A156">
        <v>999</v>
      </c>
    </row>
    <row r="157" spans="1:1">
      <c r="A157">
        <v>999</v>
      </c>
    </row>
    <row r="158" spans="1:1">
      <c r="A158">
        <v>999</v>
      </c>
    </row>
    <row r="159" spans="1:1">
      <c r="A159">
        <v>999</v>
      </c>
    </row>
    <row r="160" spans="1:1">
      <c r="A160">
        <v>999</v>
      </c>
    </row>
    <row r="161" spans="1:1">
      <c r="A161">
        <v>999</v>
      </c>
    </row>
    <row r="162" spans="1:1">
      <c r="A162">
        <v>999</v>
      </c>
    </row>
    <row r="163" spans="1:1">
      <c r="A163">
        <v>999</v>
      </c>
    </row>
    <row r="164" spans="1:1">
      <c r="A164">
        <v>999</v>
      </c>
    </row>
    <row r="165" spans="1:1">
      <c r="A165">
        <v>999</v>
      </c>
    </row>
    <row r="166" spans="1:1">
      <c r="A166">
        <v>999</v>
      </c>
    </row>
    <row r="167" spans="1:1">
      <c r="A167">
        <v>999</v>
      </c>
    </row>
    <row r="168" spans="1:1">
      <c r="A168">
        <v>999</v>
      </c>
    </row>
    <row r="169" spans="1:1">
      <c r="A169">
        <v>999</v>
      </c>
    </row>
    <row r="170" spans="1:1">
      <c r="A170">
        <v>999</v>
      </c>
    </row>
    <row r="171" spans="1:1">
      <c r="A171">
        <v>999</v>
      </c>
    </row>
    <row r="172" spans="1:1">
      <c r="A172">
        <v>999</v>
      </c>
    </row>
    <row r="173" spans="1:1">
      <c r="A173">
        <v>64000</v>
      </c>
    </row>
    <row r="174" spans="1:1">
      <c r="A174">
        <v>77000</v>
      </c>
    </row>
    <row r="175" spans="1:1">
      <c r="A175">
        <v>78256</v>
      </c>
    </row>
    <row r="176" spans="1:1">
      <c r="A176">
        <v>82000</v>
      </c>
    </row>
    <row r="177" spans="1:1">
      <c r="A177">
        <v>85000</v>
      </c>
    </row>
    <row r="178" spans="1:1">
      <c r="A178">
        <v>85000</v>
      </c>
    </row>
    <row r="179" spans="1:1">
      <c r="A179">
        <v>85000</v>
      </c>
    </row>
    <row r="180" spans="1:1">
      <c r="A180">
        <v>85000</v>
      </c>
    </row>
    <row r="181" spans="1:1">
      <c r="A181">
        <v>86000</v>
      </c>
    </row>
    <row r="182" spans="1:1">
      <c r="A182">
        <v>86000</v>
      </c>
    </row>
    <row r="183" spans="1:1">
      <c r="A183">
        <v>88000</v>
      </c>
    </row>
    <row r="184" spans="1:1">
      <c r="A184">
        <v>88500</v>
      </c>
    </row>
    <row r="185" spans="1:1">
      <c r="A185">
        <v>90000</v>
      </c>
    </row>
    <row r="186" spans="1:1">
      <c r="A186">
        <v>90000</v>
      </c>
    </row>
    <row r="187" spans="1:1">
      <c r="A187">
        <v>90000</v>
      </c>
    </row>
    <row r="188" spans="1:1">
      <c r="A188">
        <v>92000</v>
      </c>
    </row>
    <row r="189" spans="1:1">
      <c r="A189">
        <v>92000</v>
      </c>
    </row>
    <row r="190" spans="1:1">
      <c r="A190">
        <v>92000</v>
      </c>
    </row>
    <row r="191" spans="1:1">
      <c r="A191">
        <v>93000</v>
      </c>
    </row>
    <row r="192" spans="1:1">
      <c r="A192">
        <v>93000</v>
      </c>
    </row>
    <row r="193" spans="1:1">
      <c r="A193">
        <v>93000</v>
      </c>
    </row>
    <row r="194" spans="1:1">
      <c r="A194">
        <v>95000</v>
      </c>
    </row>
    <row r="195" spans="1:1">
      <c r="A195">
        <v>95000</v>
      </c>
    </row>
    <row r="196" spans="1:1">
      <c r="A196">
        <v>95000</v>
      </c>
    </row>
    <row r="197" spans="1:1">
      <c r="A197">
        <v>95000</v>
      </c>
    </row>
    <row r="198" spans="1:1">
      <c r="A198">
        <v>95000</v>
      </c>
    </row>
    <row r="199" spans="1:1">
      <c r="A199">
        <v>95000</v>
      </c>
    </row>
    <row r="200" spans="1:1">
      <c r="A200">
        <v>95000</v>
      </c>
    </row>
    <row r="201" spans="1:1">
      <c r="A201">
        <v>96000</v>
      </c>
    </row>
    <row r="202" spans="1:1">
      <c r="A202">
        <v>96000</v>
      </c>
    </row>
    <row r="203" spans="1:1">
      <c r="A203">
        <v>96000</v>
      </c>
    </row>
    <row r="204" spans="1:1">
      <c r="A204">
        <v>96000</v>
      </c>
    </row>
    <row r="205" spans="1:1">
      <c r="A205">
        <v>96500</v>
      </c>
    </row>
    <row r="206" spans="1:1">
      <c r="A206">
        <v>97000</v>
      </c>
    </row>
    <row r="207" spans="1:1">
      <c r="A207">
        <v>97000</v>
      </c>
    </row>
    <row r="208" spans="1:1">
      <c r="A208">
        <v>98000</v>
      </c>
    </row>
    <row r="209" spans="1:1">
      <c r="A209">
        <v>98000</v>
      </c>
    </row>
    <row r="210" spans="1:1">
      <c r="A210">
        <v>98000</v>
      </c>
    </row>
    <row r="211" spans="1:1">
      <c r="A211">
        <v>98000</v>
      </c>
    </row>
    <row r="212" spans="1:1">
      <c r="A212">
        <v>98000</v>
      </c>
    </row>
    <row r="213" spans="1:1">
      <c r="A213">
        <v>98000</v>
      </c>
    </row>
    <row r="214" spans="1:1">
      <c r="A214">
        <v>98000</v>
      </c>
    </row>
    <row r="215" spans="1:1">
      <c r="A215">
        <v>98000</v>
      </c>
    </row>
    <row r="216" spans="1:1">
      <c r="A216">
        <v>98000</v>
      </c>
    </row>
    <row r="217" spans="1:1">
      <c r="A217">
        <v>98000</v>
      </c>
    </row>
    <row r="218" spans="1:1">
      <c r="A218">
        <v>99000</v>
      </c>
    </row>
    <row r="219" spans="1:1">
      <c r="A219">
        <v>100000</v>
      </c>
    </row>
    <row r="220" spans="1:1">
      <c r="A220">
        <v>100000</v>
      </c>
    </row>
    <row r="221" spans="1:1">
      <c r="A221">
        <v>100000</v>
      </c>
    </row>
    <row r="222" spans="1:1">
      <c r="A222">
        <v>100000</v>
      </c>
    </row>
    <row r="223" spans="1:1">
      <c r="A223">
        <v>100000</v>
      </c>
    </row>
    <row r="224" spans="1:1">
      <c r="A224">
        <v>100000</v>
      </c>
    </row>
    <row r="225" spans="1:1">
      <c r="A225">
        <v>100000</v>
      </c>
    </row>
    <row r="226" spans="1:1">
      <c r="A226">
        <v>100000</v>
      </c>
    </row>
    <row r="227" spans="1:1">
      <c r="A227">
        <v>100000</v>
      </c>
    </row>
    <row r="228" spans="1:1">
      <c r="A228">
        <v>100400</v>
      </c>
    </row>
    <row r="229" spans="1:1">
      <c r="A229">
        <v>101000</v>
      </c>
    </row>
    <row r="230" spans="1:1">
      <c r="A230">
        <v>101000</v>
      </c>
    </row>
    <row r="231" spans="1:1">
      <c r="A231">
        <v>101100</v>
      </c>
    </row>
    <row r="232" spans="1:1">
      <c r="A232">
        <v>101600</v>
      </c>
    </row>
    <row r="233" spans="1:1">
      <c r="A233">
        <v>102500</v>
      </c>
    </row>
    <row r="234" spans="1:1">
      <c r="A234">
        <v>103000</v>
      </c>
    </row>
    <row r="235" spans="1:1">
      <c r="A235">
        <v>104000</v>
      </c>
    </row>
    <row r="236" spans="1:1">
      <c r="A236">
        <v>104000</v>
      </c>
    </row>
    <row r="237" spans="1:1">
      <c r="A237">
        <v>105000</v>
      </c>
    </row>
    <row r="238" spans="1:1">
      <c r="A238">
        <v>105000</v>
      </c>
    </row>
    <row r="239" spans="1:1">
      <c r="A239">
        <v>105000</v>
      </c>
    </row>
    <row r="240" spans="1:1">
      <c r="A240">
        <v>105000</v>
      </c>
    </row>
    <row r="241" spans="1:1">
      <c r="A241">
        <v>105000</v>
      </c>
    </row>
    <row r="242" spans="1:1">
      <c r="A242">
        <v>105000</v>
      </c>
    </row>
    <row r="243" spans="1:1">
      <c r="A243">
        <v>105000</v>
      </c>
    </row>
    <row r="244" spans="1:1">
      <c r="A244">
        <v>105000</v>
      </c>
    </row>
    <row r="245" spans="1:1">
      <c r="A245">
        <v>105000</v>
      </c>
    </row>
    <row r="246" spans="1:1">
      <c r="A246">
        <v>105000</v>
      </c>
    </row>
    <row r="247" spans="1:1">
      <c r="A247">
        <v>105000</v>
      </c>
    </row>
    <row r="248" spans="1:1">
      <c r="A248">
        <v>106000</v>
      </c>
    </row>
    <row r="249" spans="1:1">
      <c r="A249">
        <v>106000</v>
      </c>
    </row>
    <row r="250" spans="1:1">
      <c r="A250">
        <v>106000</v>
      </c>
    </row>
    <row r="251" spans="1:1">
      <c r="A251">
        <v>107000</v>
      </c>
    </row>
    <row r="252" spans="1:1">
      <c r="A252">
        <v>107300</v>
      </c>
    </row>
    <row r="253" spans="1:1">
      <c r="A253">
        <v>107500</v>
      </c>
    </row>
    <row r="254" spans="1:1">
      <c r="A254">
        <v>108000</v>
      </c>
    </row>
    <row r="255" spans="1:1">
      <c r="A255">
        <v>108000</v>
      </c>
    </row>
    <row r="256" spans="1:1">
      <c r="A256">
        <v>110000</v>
      </c>
    </row>
    <row r="257" spans="1:1">
      <c r="A257">
        <v>112000</v>
      </c>
    </row>
    <row r="258" spans="1:1">
      <c r="A258">
        <v>112000</v>
      </c>
    </row>
    <row r="259" spans="1:1">
      <c r="A259">
        <v>112000</v>
      </c>
    </row>
    <row r="260" spans="1:1">
      <c r="A260">
        <v>115000</v>
      </c>
    </row>
    <row r="261" spans="1:1">
      <c r="A261">
        <v>115000</v>
      </c>
    </row>
    <row r="262" spans="1:1">
      <c r="A262">
        <v>115000</v>
      </c>
    </row>
    <row r="263" spans="1:1">
      <c r="A263">
        <v>115000</v>
      </c>
    </row>
    <row r="264" spans="1:1">
      <c r="A264">
        <v>115000</v>
      </c>
    </row>
    <row r="265" spans="1:1">
      <c r="A265">
        <v>118000</v>
      </c>
    </row>
    <row r="266" spans="1:1">
      <c r="A266">
        <v>120000</v>
      </c>
    </row>
    <row r="267" spans="1:1">
      <c r="A267">
        <v>120000</v>
      </c>
    </row>
    <row r="268" spans="1:1">
      <c r="A268">
        <v>120000</v>
      </c>
    </row>
    <row r="269" spans="1:1">
      <c r="A269">
        <v>120000</v>
      </c>
    </row>
    <row r="270" spans="1:1">
      <c r="A270">
        <v>126710</v>
      </c>
    </row>
    <row r="271" spans="1:1">
      <c r="A271">
        <v>130000</v>
      </c>
    </row>
    <row r="272" spans="1:1">
      <c r="A272">
        <v>145800</v>
      </c>
    </row>
    <row r="273" spans="1:1">
      <c r="A273">
        <v>146000</v>
      </c>
    </row>
    <row r="274" spans="1:1">
      <c r="A274">
        <v>162000</v>
      </c>
    </row>
    <row r="275" spans="1:1">
      <c r="A275">
        <v>220000</v>
      </c>
    </row>
  </sheetData>
  <sortState ref="A2:A275">
    <sortCondition ref="A2"/>
  </sortState>
  <mergeCells count="1">
    <mergeCell ref="B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3" sqref="A13:D22"/>
    </sheetView>
  </sheetViews>
  <sheetFormatPr defaultColWidth="8.88888888888889" defaultRowHeight="14.4" outlineLevelCol="3"/>
  <cols>
    <col min="1" max="1" width="18.6666666666667" customWidth="1"/>
    <col min="3" max="3" width="14.8888888888889" customWidth="1"/>
    <col min="4" max="4" width="10.8888888888889" customWidth="1"/>
  </cols>
  <sheetData>
    <row r="1" spans="1:4">
      <c r="A1" s="1" t="s">
        <v>27</v>
      </c>
      <c r="B1" s="1"/>
      <c r="C1" s="1"/>
      <c r="D1" s="1"/>
    </row>
    <row r="2" spans="1:3">
      <c r="A2" s="4" t="s">
        <v>15</v>
      </c>
      <c r="B2" s="4"/>
      <c r="C2" s="4" t="s">
        <v>16</v>
      </c>
    </row>
    <row r="3" spans="1:3">
      <c r="A3" s="4" t="s">
        <v>17</v>
      </c>
      <c r="B3" s="4">
        <v>83500</v>
      </c>
      <c r="C3" s="4">
        <v>4</v>
      </c>
    </row>
    <row r="4" spans="1:3">
      <c r="A4" s="4" t="s">
        <v>18</v>
      </c>
      <c r="B4" s="4">
        <v>10300</v>
      </c>
      <c r="C4" s="4">
        <v>0</v>
      </c>
    </row>
    <row r="5" spans="1:3">
      <c r="A5" s="4" t="s">
        <v>20</v>
      </c>
      <c r="B5" s="4">
        <v>122500</v>
      </c>
      <c r="C5" s="4">
        <v>93</v>
      </c>
    </row>
    <row r="6" spans="1:3">
      <c r="A6" s="4" t="s">
        <v>21</v>
      </c>
      <c r="B6" s="4">
        <v>142000</v>
      </c>
      <c r="C6" s="4">
        <v>2</v>
      </c>
    </row>
    <row r="7" spans="1:3">
      <c r="A7" s="4" t="s">
        <v>22</v>
      </c>
      <c r="B7" s="4">
        <v>161500</v>
      </c>
      <c r="C7" s="4">
        <v>2</v>
      </c>
    </row>
    <row r="8" spans="1:3">
      <c r="A8" s="4" t="s">
        <v>23</v>
      </c>
      <c r="B8" s="4">
        <v>181000</v>
      </c>
      <c r="C8" s="4">
        <v>1</v>
      </c>
    </row>
    <row r="9" spans="1:3">
      <c r="A9" s="4" t="s">
        <v>24</v>
      </c>
      <c r="B9" s="4">
        <v>200500</v>
      </c>
      <c r="C9" s="4">
        <v>0</v>
      </c>
    </row>
    <row r="10" spans="1:3">
      <c r="A10" s="4" t="s">
        <v>26</v>
      </c>
      <c r="B10" s="4">
        <v>220000</v>
      </c>
      <c r="C10" s="4">
        <v>1</v>
      </c>
    </row>
    <row r="13" spans="1:4">
      <c r="A13" s="7" t="s">
        <v>28</v>
      </c>
      <c r="B13" s="7"/>
      <c r="C13" s="7"/>
      <c r="D13" s="7"/>
    </row>
    <row r="14" spans="1:4">
      <c r="A14" s="8" t="s">
        <v>29</v>
      </c>
      <c r="B14" s="8" t="s">
        <v>30</v>
      </c>
      <c r="C14" s="10" t="s">
        <v>31</v>
      </c>
      <c r="D14" s="8" t="s">
        <v>32</v>
      </c>
    </row>
    <row r="15" spans="1:4">
      <c r="A15" s="4" t="s">
        <v>17</v>
      </c>
      <c r="B15" s="4">
        <v>4</v>
      </c>
      <c r="C15" s="6">
        <f>ROUND(B15/SUM(B15:B22),3)</f>
        <v>0.039</v>
      </c>
      <c r="D15" s="9">
        <f>C15</f>
        <v>0.039</v>
      </c>
    </row>
    <row r="16" spans="1:4">
      <c r="A16" s="4" t="s">
        <v>18</v>
      </c>
      <c r="B16" s="4">
        <v>0</v>
      </c>
      <c r="C16" s="6">
        <f>ROUND(B16/SUM(B15:B22),3)</f>
        <v>0</v>
      </c>
      <c r="D16" s="9">
        <f t="shared" ref="D16:D23" si="0">C16</f>
        <v>0</v>
      </c>
    </row>
    <row r="17" spans="1:4">
      <c r="A17" s="4" t="s">
        <v>20</v>
      </c>
      <c r="B17" s="4">
        <v>93</v>
      </c>
      <c r="C17" s="6">
        <f>ROUND(B17/SUM(B15:B22),3)</f>
        <v>0.903</v>
      </c>
      <c r="D17" s="9">
        <f t="shared" si="0"/>
        <v>0.903</v>
      </c>
    </row>
    <row r="18" spans="1:4">
      <c r="A18" s="4" t="s">
        <v>21</v>
      </c>
      <c r="B18" s="4">
        <v>2</v>
      </c>
      <c r="C18" s="6">
        <f>ROUND(B18/SUM(B15:B22),3)</f>
        <v>0.019</v>
      </c>
      <c r="D18" s="9">
        <f t="shared" si="0"/>
        <v>0.019</v>
      </c>
    </row>
    <row r="19" spans="1:4">
      <c r="A19" s="4" t="s">
        <v>22</v>
      </c>
      <c r="B19" s="4">
        <v>2</v>
      </c>
      <c r="C19" s="6">
        <f>ROUND(B19/SUM(B15:B22),3)</f>
        <v>0.019</v>
      </c>
      <c r="D19" s="9">
        <f t="shared" si="0"/>
        <v>0.019</v>
      </c>
    </row>
    <row r="20" spans="1:4">
      <c r="A20" s="4" t="s">
        <v>23</v>
      </c>
      <c r="B20" s="4">
        <v>1</v>
      </c>
      <c r="C20" s="6">
        <f>ROUND(B20/SUM(B15:B22),3)</f>
        <v>0.01</v>
      </c>
      <c r="D20" s="9">
        <f t="shared" si="0"/>
        <v>0.01</v>
      </c>
    </row>
    <row r="21" spans="1:4">
      <c r="A21" s="4" t="s">
        <v>24</v>
      </c>
      <c r="B21" s="4">
        <v>0</v>
      </c>
      <c r="C21" s="6">
        <f>ROUND(B21/SUM(B15:B22),3)</f>
        <v>0</v>
      </c>
      <c r="D21" s="9">
        <f t="shared" si="0"/>
        <v>0</v>
      </c>
    </row>
    <row r="22" spans="1:4">
      <c r="A22" s="4" t="s">
        <v>26</v>
      </c>
      <c r="B22" s="4">
        <v>1</v>
      </c>
      <c r="C22" s="6">
        <f>ROUND(B22/SUM(B15:B22),3)</f>
        <v>0.01</v>
      </c>
      <c r="D22" s="9">
        <f t="shared" si="0"/>
        <v>0.01</v>
      </c>
    </row>
  </sheetData>
  <mergeCells count="2">
    <mergeCell ref="A1:D1"/>
    <mergeCell ref="A13:D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3" sqref="A3:A10"/>
    </sheetView>
  </sheetViews>
  <sheetFormatPr defaultColWidth="8.88888888888889" defaultRowHeight="14.4"/>
  <cols>
    <col min="1" max="1" width="24" customWidth="1"/>
    <col min="4" max="4" width="19.7777777777778" customWidth="1"/>
    <col min="8" max="8" width="14.8888888888889" customWidth="1"/>
    <col min="9" max="9" width="3.77777777777778" customWidth="1"/>
    <col min="10" max="10" width="6.66666666666667" customWidth="1"/>
    <col min="11" max="11" width="10.8888888888889" customWidth="1"/>
  </cols>
  <sheetData>
    <row r="1" spans="1:11">
      <c r="A1" s="11" t="s">
        <v>33</v>
      </c>
      <c r="B1" s="11"/>
      <c r="C1" s="11"/>
      <c r="D1" s="11"/>
      <c r="H1" s="7" t="s">
        <v>28</v>
      </c>
      <c r="I1" s="7"/>
      <c r="J1" s="7"/>
      <c r="K1" s="7"/>
    </row>
    <row r="2" spans="1:11">
      <c r="A2" s="8" t="s">
        <v>34</v>
      </c>
      <c r="B2" s="8" t="s">
        <v>35</v>
      </c>
      <c r="C2" s="8" t="s">
        <v>36</v>
      </c>
      <c r="D2" s="8" t="s">
        <v>37</v>
      </c>
      <c r="H2" s="8" t="s">
        <v>29</v>
      </c>
      <c r="I2" s="8" t="s">
        <v>30</v>
      </c>
      <c r="J2" s="10" t="s">
        <v>31</v>
      </c>
      <c r="K2" s="8" t="s">
        <v>32</v>
      </c>
    </row>
    <row r="3" spans="1:11">
      <c r="A3" s="4" t="s">
        <v>38</v>
      </c>
      <c r="B3" s="12">
        <f>SUM(I3:I10)</f>
        <v>103</v>
      </c>
      <c r="C3" s="4">
        <f>ROUND(B3/103,3)</f>
        <v>1</v>
      </c>
      <c r="D3" s="9">
        <f>C3</f>
        <v>1</v>
      </c>
      <c r="H3" s="4" t="s">
        <v>17</v>
      </c>
      <c r="I3" s="4">
        <v>4</v>
      </c>
      <c r="J3" s="6">
        <f>ROUND(I3/SUM(I3:I10),3)</f>
        <v>0.039</v>
      </c>
      <c r="K3" s="9">
        <f t="shared" ref="K3:K10" si="0">J3</f>
        <v>0.039</v>
      </c>
    </row>
    <row r="4" spans="1:11">
      <c r="A4" s="4" t="s">
        <v>39</v>
      </c>
      <c r="B4" s="12">
        <f>SUM(I4:I10)</f>
        <v>99</v>
      </c>
      <c r="C4" s="4">
        <f t="shared" ref="C4:C10" si="1">ROUND(B4/103,3)</f>
        <v>0.961</v>
      </c>
      <c r="D4" s="9">
        <f t="shared" ref="D4:D11" si="2">C4</f>
        <v>0.961</v>
      </c>
      <c r="H4" s="4" t="s">
        <v>18</v>
      </c>
      <c r="I4" s="4">
        <v>0</v>
      </c>
      <c r="J4" s="6">
        <f>ROUND(I4/SUM(I3:I10),3)</f>
        <v>0</v>
      </c>
      <c r="K4" s="9">
        <f t="shared" si="0"/>
        <v>0</v>
      </c>
    </row>
    <row r="5" spans="1:11">
      <c r="A5" s="4" t="s">
        <v>40</v>
      </c>
      <c r="B5" s="12">
        <f>SUM(I5:I10)</f>
        <v>99</v>
      </c>
      <c r="C5" s="4">
        <f t="shared" si="1"/>
        <v>0.961</v>
      </c>
      <c r="D5" s="9">
        <f t="shared" si="2"/>
        <v>0.961</v>
      </c>
      <c r="H5" s="4" t="s">
        <v>20</v>
      </c>
      <c r="I5" s="4">
        <v>93</v>
      </c>
      <c r="J5" s="6">
        <f>ROUND(I5/SUM(I3:I10),3)</f>
        <v>0.903</v>
      </c>
      <c r="K5" s="9">
        <f t="shared" si="0"/>
        <v>0.903</v>
      </c>
    </row>
    <row r="6" spans="1:11">
      <c r="A6" s="4" t="s">
        <v>41</v>
      </c>
      <c r="B6" s="12">
        <f>SUM(I6:I10)</f>
        <v>6</v>
      </c>
      <c r="C6" s="4">
        <f t="shared" si="1"/>
        <v>0.058</v>
      </c>
      <c r="D6" s="9">
        <f t="shared" si="2"/>
        <v>0.058</v>
      </c>
      <c r="H6" s="4" t="s">
        <v>21</v>
      </c>
      <c r="I6" s="4">
        <v>2</v>
      </c>
      <c r="J6" s="6">
        <f>ROUND(I6/SUM(I3:I10),3)</f>
        <v>0.019</v>
      </c>
      <c r="K6" s="9">
        <f t="shared" si="0"/>
        <v>0.019</v>
      </c>
    </row>
    <row r="7" spans="1:11">
      <c r="A7" s="4" t="s">
        <v>42</v>
      </c>
      <c r="B7" s="12">
        <f>SUM(I7:I10)</f>
        <v>4</v>
      </c>
      <c r="C7" s="4">
        <f t="shared" si="1"/>
        <v>0.039</v>
      </c>
      <c r="D7" s="9">
        <f t="shared" si="2"/>
        <v>0.039</v>
      </c>
      <c r="H7" s="4" t="s">
        <v>22</v>
      </c>
      <c r="I7" s="4">
        <v>2</v>
      </c>
      <c r="J7" s="6">
        <f>ROUND(I7/SUM(I3:I10),3)</f>
        <v>0.019</v>
      </c>
      <c r="K7" s="9">
        <f t="shared" si="0"/>
        <v>0.019</v>
      </c>
    </row>
    <row r="8" spans="1:11">
      <c r="A8" s="4" t="s">
        <v>43</v>
      </c>
      <c r="B8" s="12">
        <f>SUM(I8:I10)</f>
        <v>2</v>
      </c>
      <c r="C8" s="4">
        <f t="shared" si="1"/>
        <v>0.019</v>
      </c>
      <c r="D8" s="9">
        <f t="shared" si="2"/>
        <v>0.019</v>
      </c>
      <c r="H8" s="4" t="s">
        <v>23</v>
      </c>
      <c r="I8" s="4">
        <v>1</v>
      </c>
      <c r="J8" s="6">
        <f>ROUND(I8/SUM(I3:I10),3)</f>
        <v>0.01</v>
      </c>
      <c r="K8" s="9">
        <f t="shared" si="0"/>
        <v>0.01</v>
      </c>
    </row>
    <row r="9" spans="1:11">
      <c r="A9" s="4" t="s">
        <v>44</v>
      </c>
      <c r="B9" s="12">
        <f>SUM(I9:I10)</f>
        <v>1</v>
      </c>
      <c r="C9" s="4">
        <f t="shared" si="1"/>
        <v>0.01</v>
      </c>
      <c r="D9" s="9">
        <f t="shared" si="2"/>
        <v>0.01</v>
      </c>
      <c r="H9" s="4" t="s">
        <v>24</v>
      </c>
      <c r="I9" s="4">
        <v>0</v>
      </c>
      <c r="J9" s="6">
        <f>ROUND(I9/SUM(I3:I10),3)</f>
        <v>0</v>
      </c>
      <c r="K9" s="9">
        <f t="shared" si="0"/>
        <v>0</v>
      </c>
    </row>
    <row r="10" spans="1:11">
      <c r="A10" s="4" t="s">
        <v>45</v>
      </c>
      <c r="B10" s="12">
        <f>SUM(I10)</f>
        <v>1</v>
      </c>
      <c r="C10" s="4">
        <f t="shared" si="1"/>
        <v>0.01</v>
      </c>
      <c r="D10" s="9">
        <f t="shared" si="2"/>
        <v>0.01</v>
      </c>
      <c r="H10" s="4" t="s">
        <v>26</v>
      </c>
      <c r="I10" s="4">
        <v>1</v>
      </c>
      <c r="J10" s="6">
        <f>ROUND(I10/SUM(I3:I10),3)</f>
        <v>0.01</v>
      </c>
      <c r="K10" s="9">
        <f t="shared" si="0"/>
        <v>0.01</v>
      </c>
    </row>
  </sheetData>
  <mergeCells count="2">
    <mergeCell ref="A1:D1"/>
    <mergeCell ref="H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D3" sqref="D3"/>
    </sheetView>
  </sheetViews>
  <sheetFormatPr defaultColWidth="8.88888888888889" defaultRowHeight="14.4"/>
  <cols>
    <col min="1" max="1" width="22.8888888888889" customWidth="1"/>
    <col min="4" max="4" width="18.4444444444444" customWidth="1"/>
    <col min="8" max="8" width="15.8888888888889" customWidth="1"/>
    <col min="9" max="9" width="4.66666666666667" customWidth="1"/>
    <col min="10" max="10" width="6.66666666666667" customWidth="1"/>
    <col min="11" max="11" width="10.8888888888889" customWidth="1"/>
  </cols>
  <sheetData>
    <row r="1" spans="1:11">
      <c r="A1" s="7" t="s">
        <v>46</v>
      </c>
      <c r="B1" s="7"/>
      <c r="C1" s="7"/>
      <c r="D1" s="7"/>
      <c r="H1" s="7" t="s">
        <v>28</v>
      </c>
      <c r="I1" s="7"/>
      <c r="J1" s="7"/>
      <c r="K1" s="7"/>
    </row>
    <row r="2" spans="1:11">
      <c r="A2" s="8" t="s">
        <v>47</v>
      </c>
      <c r="B2" s="8" t="s">
        <v>48</v>
      </c>
      <c r="C2" s="8" t="s">
        <v>49</v>
      </c>
      <c r="D2" s="8" t="s">
        <v>50</v>
      </c>
      <c r="H2" s="8" t="s">
        <v>29</v>
      </c>
      <c r="I2" s="8" t="s">
        <v>30</v>
      </c>
      <c r="J2" s="10" t="s">
        <v>31</v>
      </c>
      <c r="K2" s="8" t="s">
        <v>32</v>
      </c>
    </row>
    <row r="3" spans="1:11">
      <c r="A3" s="4" t="s">
        <v>51</v>
      </c>
      <c r="B3" s="4">
        <v>0</v>
      </c>
      <c r="C3" s="4">
        <f>ROUND(B3/103,3)</f>
        <v>0</v>
      </c>
      <c r="D3" s="9">
        <f>C3</f>
        <v>0</v>
      </c>
      <c r="H3" s="4" t="s">
        <v>17</v>
      </c>
      <c r="I3" s="4">
        <v>4</v>
      </c>
      <c r="J3" s="6">
        <f>ROUND(I3/SUM(I3:I10),3)</f>
        <v>0.039</v>
      </c>
      <c r="K3" s="9">
        <f t="shared" ref="K3:K10" si="0">J3</f>
        <v>0.039</v>
      </c>
    </row>
    <row r="4" spans="1:11">
      <c r="A4" s="4" t="s">
        <v>52</v>
      </c>
      <c r="B4" s="4">
        <f>B3+I3</f>
        <v>4</v>
      </c>
      <c r="C4" s="4">
        <f t="shared" ref="C4:C11" si="1">ROUND(B4/103,3)</f>
        <v>0.039</v>
      </c>
      <c r="D4" s="9">
        <f t="shared" ref="D4:D11" si="2">C4</f>
        <v>0.039</v>
      </c>
      <c r="H4" s="4" t="s">
        <v>18</v>
      </c>
      <c r="I4" s="4">
        <v>0</v>
      </c>
      <c r="J4" s="6">
        <f>ROUND(I4/SUM(I3:I10),3)</f>
        <v>0</v>
      </c>
      <c r="K4" s="9">
        <f t="shared" si="0"/>
        <v>0</v>
      </c>
    </row>
    <row r="5" spans="1:11">
      <c r="A5" s="4" t="s">
        <v>53</v>
      </c>
      <c r="B5" s="4">
        <f t="shared" ref="B5:B11" si="3">B4+I4</f>
        <v>4</v>
      </c>
      <c r="C5" s="4">
        <f t="shared" si="1"/>
        <v>0.039</v>
      </c>
      <c r="D5" s="9">
        <f t="shared" si="2"/>
        <v>0.039</v>
      </c>
      <c r="H5" s="4" t="s">
        <v>20</v>
      </c>
      <c r="I5" s="4">
        <v>93</v>
      </c>
      <c r="J5" s="6">
        <f>ROUND(I5/SUM(I3:I10),3)</f>
        <v>0.903</v>
      </c>
      <c r="K5" s="9">
        <f t="shared" si="0"/>
        <v>0.903</v>
      </c>
    </row>
    <row r="6" spans="1:11">
      <c r="A6" s="4" t="s">
        <v>54</v>
      </c>
      <c r="B6" s="4">
        <f t="shared" si="3"/>
        <v>97</v>
      </c>
      <c r="C6" s="4">
        <f t="shared" si="1"/>
        <v>0.942</v>
      </c>
      <c r="D6" s="9">
        <f t="shared" si="2"/>
        <v>0.942</v>
      </c>
      <c r="H6" s="4" t="s">
        <v>21</v>
      </c>
      <c r="I6" s="4">
        <v>2</v>
      </c>
      <c r="J6" s="6">
        <f>ROUND(I6/SUM(I3:I10),3)</f>
        <v>0.019</v>
      </c>
      <c r="K6" s="9">
        <f t="shared" si="0"/>
        <v>0.019</v>
      </c>
    </row>
    <row r="7" spans="1:11">
      <c r="A7" s="4" t="s">
        <v>55</v>
      </c>
      <c r="B7" s="4">
        <f t="shared" si="3"/>
        <v>99</v>
      </c>
      <c r="C7" s="4">
        <f t="shared" si="1"/>
        <v>0.961</v>
      </c>
      <c r="D7" s="9">
        <f t="shared" si="2"/>
        <v>0.961</v>
      </c>
      <c r="H7" s="4" t="s">
        <v>22</v>
      </c>
      <c r="I7" s="4">
        <v>2</v>
      </c>
      <c r="J7" s="6">
        <f>ROUND(I7/SUM(I3:I10),3)</f>
        <v>0.019</v>
      </c>
      <c r="K7" s="9">
        <f t="shared" si="0"/>
        <v>0.019</v>
      </c>
    </row>
    <row r="8" spans="1:11">
      <c r="A8" s="4" t="s">
        <v>56</v>
      </c>
      <c r="B8" s="4">
        <f t="shared" si="3"/>
        <v>101</v>
      </c>
      <c r="C8" s="4">
        <f t="shared" si="1"/>
        <v>0.981</v>
      </c>
      <c r="D8" s="9">
        <f t="shared" si="2"/>
        <v>0.981</v>
      </c>
      <c r="H8" s="4" t="s">
        <v>23</v>
      </c>
      <c r="I8" s="4">
        <v>1</v>
      </c>
      <c r="J8" s="6">
        <f>ROUND(I8/SUM(I3:I10),3)</f>
        <v>0.01</v>
      </c>
      <c r="K8" s="9">
        <f t="shared" si="0"/>
        <v>0.01</v>
      </c>
    </row>
    <row r="9" spans="1:11">
      <c r="A9" s="4" t="s">
        <v>57</v>
      </c>
      <c r="B9" s="4">
        <f t="shared" si="3"/>
        <v>102</v>
      </c>
      <c r="C9" s="4">
        <f t="shared" si="1"/>
        <v>0.99</v>
      </c>
      <c r="D9" s="9">
        <f t="shared" si="2"/>
        <v>0.99</v>
      </c>
      <c r="H9" s="4" t="s">
        <v>24</v>
      </c>
      <c r="I9" s="4">
        <v>0</v>
      </c>
      <c r="J9" s="6">
        <f>ROUND(I9/SUM(I3:I10),3)</f>
        <v>0</v>
      </c>
      <c r="K9" s="9">
        <f t="shared" si="0"/>
        <v>0</v>
      </c>
    </row>
    <row r="10" spans="1:11">
      <c r="A10" s="4" t="s">
        <v>58</v>
      </c>
      <c r="B10" s="4">
        <f t="shared" si="3"/>
        <v>102</v>
      </c>
      <c r="C10" s="4">
        <f t="shared" si="1"/>
        <v>0.99</v>
      </c>
      <c r="D10" s="9">
        <f t="shared" si="2"/>
        <v>0.99</v>
      </c>
      <c r="H10" s="4" t="s">
        <v>26</v>
      </c>
      <c r="I10" s="4">
        <v>1</v>
      </c>
      <c r="J10" s="6">
        <f>ROUND(I10/SUM(I3:I10),3)</f>
        <v>0.01</v>
      </c>
      <c r="K10" s="9">
        <f t="shared" si="0"/>
        <v>0.01</v>
      </c>
    </row>
    <row r="11" spans="1:4">
      <c r="A11" s="4" t="s">
        <v>59</v>
      </c>
      <c r="B11" s="4">
        <f t="shared" si="3"/>
        <v>103</v>
      </c>
      <c r="C11" s="4">
        <f t="shared" si="1"/>
        <v>1</v>
      </c>
      <c r="D11" s="9">
        <f t="shared" si="2"/>
        <v>1</v>
      </c>
    </row>
  </sheetData>
  <mergeCells count="2">
    <mergeCell ref="A1:D1"/>
    <mergeCell ref="H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2" sqref="C2:C9"/>
    </sheetView>
  </sheetViews>
  <sheetFormatPr defaultColWidth="8.88888888888889" defaultRowHeight="14.4" outlineLevelCol="2"/>
  <cols>
    <col min="1" max="1" width="16.4444444444444" customWidth="1"/>
    <col min="2" max="2" width="8.88888888888889" hidden="1" customWidth="1"/>
    <col min="3" max="3" width="26.1111111111111" customWidth="1"/>
  </cols>
  <sheetData>
    <row r="1" spans="1:3">
      <c r="A1" s="3" t="s">
        <v>15</v>
      </c>
      <c r="B1" s="4"/>
      <c r="C1" s="5" t="s">
        <v>16</v>
      </c>
    </row>
    <row r="2" spans="1:3">
      <c r="A2" s="4" t="s">
        <v>17</v>
      </c>
      <c r="B2" s="4">
        <v>83500</v>
      </c>
      <c r="C2" s="6">
        <v>4</v>
      </c>
    </row>
    <row r="3" spans="1:3">
      <c r="A3" s="4" t="s">
        <v>18</v>
      </c>
      <c r="B3" s="4">
        <v>10300</v>
      </c>
      <c r="C3" s="6">
        <v>0</v>
      </c>
    </row>
    <row r="4" spans="1:3">
      <c r="A4" s="4" t="s">
        <v>20</v>
      </c>
      <c r="B4" s="4">
        <v>122500</v>
      </c>
      <c r="C4" s="6">
        <v>93</v>
      </c>
    </row>
    <row r="5" spans="1:3">
      <c r="A5" s="4" t="s">
        <v>21</v>
      </c>
      <c r="B5" s="4">
        <v>142000</v>
      </c>
      <c r="C5" s="6">
        <v>2</v>
      </c>
    </row>
    <row r="6" spans="1:3">
      <c r="A6" s="4" t="s">
        <v>22</v>
      </c>
      <c r="B6" s="4">
        <v>161500</v>
      </c>
      <c r="C6" s="6">
        <v>2</v>
      </c>
    </row>
    <row r="7" spans="1:3">
      <c r="A7" s="4" t="s">
        <v>23</v>
      </c>
      <c r="B7" s="4">
        <v>181000</v>
      </c>
      <c r="C7" s="6">
        <v>1</v>
      </c>
    </row>
    <row r="8" spans="1:3">
      <c r="A8" s="4" t="s">
        <v>24</v>
      </c>
      <c r="B8" s="4">
        <v>200500</v>
      </c>
      <c r="C8" s="6">
        <v>0</v>
      </c>
    </row>
    <row r="9" spans="1:3">
      <c r="A9" s="4" t="s">
        <v>26</v>
      </c>
      <c r="B9" s="4">
        <v>220000</v>
      </c>
      <c r="C9" s="6">
        <v>1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4" sqref="C14"/>
    </sheetView>
  </sheetViews>
  <sheetFormatPr defaultColWidth="8.88888888888889" defaultRowHeight="14.4" outlineLevelCol="2"/>
  <cols>
    <col min="1" max="1" width="16.4444444444444" customWidth="1"/>
    <col min="2" max="2" width="8.88888888888889" hidden="1" customWidth="1"/>
    <col min="3" max="3" width="26.1111111111111" customWidth="1"/>
  </cols>
  <sheetData>
    <row r="1" spans="1:3">
      <c r="A1" s="3" t="s">
        <v>15</v>
      </c>
      <c r="B1" s="4"/>
      <c r="C1" s="5" t="s">
        <v>16</v>
      </c>
    </row>
    <row r="2" spans="1:3">
      <c r="A2" s="4" t="s">
        <v>17</v>
      </c>
      <c r="B2" s="4">
        <v>83500</v>
      </c>
      <c r="C2" s="6">
        <v>4</v>
      </c>
    </row>
    <row r="3" spans="1:3">
      <c r="A3" s="4" t="s">
        <v>18</v>
      </c>
      <c r="B3" s="4">
        <v>10300</v>
      </c>
      <c r="C3" s="6">
        <v>0</v>
      </c>
    </row>
    <row r="4" spans="1:3">
      <c r="A4" s="4" t="s">
        <v>20</v>
      </c>
      <c r="B4" s="4">
        <v>122500</v>
      </c>
      <c r="C4" s="6">
        <v>93</v>
      </c>
    </row>
    <row r="5" spans="1:3">
      <c r="A5" s="4" t="s">
        <v>21</v>
      </c>
      <c r="B5" s="4">
        <v>142000</v>
      </c>
      <c r="C5" s="6">
        <v>2</v>
      </c>
    </row>
    <row r="6" spans="1:3">
      <c r="A6" s="4" t="s">
        <v>22</v>
      </c>
      <c r="B6" s="4">
        <v>161500</v>
      </c>
      <c r="C6" s="6">
        <v>2</v>
      </c>
    </row>
    <row r="7" spans="1:3">
      <c r="A7" s="4" t="s">
        <v>23</v>
      </c>
      <c r="B7" s="4">
        <v>181000</v>
      </c>
      <c r="C7" s="6">
        <v>1</v>
      </c>
    </row>
    <row r="8" spans="1:3">
      <c r="A8" s="4" t="s">
        <v>24</v>
      </c>
      <c r="B8" s="4">
        <v>200500</v>
      </c>
      <c r="C8" s="6">
        <v>0</v>
      </c>
    </row>
    <row r="9" spans="1:3">
      <c r="A9" s="4" t="s">
        <v>26</v>
      </c>
      <c r="B9" s="4">
        <v>220000</v>
      </c>
      <c r="C9" s="6">
        <v>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workbookViewId="0">
      <selection activeCell="A5" sqref="A5:Z5"/>
    </sheetView>
  </sheetViews>
  <sheetFormatPr defaultColWidth="8.88888888888889" defaultRowHeight="14.4" outlineLevelRow="5"/>
  <sheetData>
    <row r="1" spans="1:3">
      <c r="A1" s="1" t="s">
        <v>60</v>
      </c>
      <c r="B1" s="1"/>
      <c r="C1" s="1"/>
    </row>
    <row r="2" spans="1:26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1">
      <c r="A6" s="2"/>
    </row>
  </sheetData>
  <mergeCells count="5">
    <mergeCell ref="A1:C1"/>
    <mergeCell ref="A2:Z2"/>
    <mergeCell ref="A3:Z3"/>
    <mergeCell ref="A4:Z4"/>
    <mergeCell ref="A5:Z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A5" sqref="A5:Z5"/>
    </sheetView>
  </sheetViews>
  <sheetFormatPr defaultColWidth="8.88888888888889" defaultRowHeight="14.4" outlineLevelRow="4"/>
  <sheetData>
    <row r="1" spans="1:3">
      <c r="A1" s="1" t="s">
        <v>65</v>
      </c>
      <c r="B1" s="1"/>
      <c r="C1" s="1"/>
    </row>
    <row r="2" spans="1:26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</sheetData>
  <mergeCells count="5">
    <mergeCell ref="A1:C1"/>
    <mergeCell ref="A2:Z2"/>
    <mergeCell ref="A3:Z3"/>
    <mergeCell ref="A4:Z4"/>
    <mergeCell ref="A5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MBA Starting Salaries Data</vt:lpstr>
      <vt:lpstr>FD</vt:lpstr>
      <vt:lpstr>RFD</vt:lpstr>
      <vt:lpstr>MRCFD</vt:lpstr>
      <vt:lpstr>LRCFD</vt:lpstr>
      <vt:lpstr>Histogram</vt:lpstr>
      <vt:lpstr>Frequency Polygon</vt:lpstr>
      <vt:lpstr>Dealing With Missing Data</vt:lpstr>
      <vt:lpstr>Dealing With Outliers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WPS_1748755748</cp:lastModifiedBy>
  <dcterms:created xsi:type="dcterms:W3CDTF">2025-06-14T16:07:00Z</dcterms:created>
  <dcterms:modified xsi:type="dcterms:W3CDTF">2025-06-17T13:28:06Z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5CC340E148A44E068E83777280D44D3F_13</vt:lpwstr>
  </property>
  <property fmtid="{D5CDD505-2E9C-101B-9397-08002B2CF9AE}" pid="3" name="KSOProductBuildVer">
    <vt:lpwstr>1033-12.2.0.21546</vt:lpwstr>
  </property>
</Properties>
</file>